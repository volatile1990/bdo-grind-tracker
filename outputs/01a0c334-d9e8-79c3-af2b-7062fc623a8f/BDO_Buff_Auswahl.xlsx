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186ad4f64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ff-Auswahl" sheetId="1" r:id="R9d4393de3638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1">
    <x:font>
      <x:sz val="11"/>
      <x:name val="Carlito"/>
    </x:font>
    <x:font>
      <x:sz val="10"/>
      <x:color rgb="FF24384D"/>
      <x:name val="Arial"/>
    </x:font>
    <x:font>
      <x:b/>
      <x:sz val="16"/>
      <x:color rgb="FF24384D"/>
      <x:name val="Arial"/>
    </x:font>
    <x:font>
      <x:sz val="10"/>
      <x:color rgb="FF536172"/>
      <x:name val="Arial"/>
    </x:font>
    <x:font>
      <x:b/>
      <x:sz val="10"/>
      <x:color rgb="FF24384D"/>
      <x:name val="Arial"/>
    </x:font>
    <x:font>
      <x:sz val="10"/>
      <x:color rgb="FF657082"/>
      <x:name val="Arial"/>
    </x:font>
    <x:font>
      <x:b/>
      <x:sz val="10"/>
      <x:color rgb="FFFFFFFF"/>
      <x:name val="Arial"/>
    </x:font>
    <x:font>
      <x:sz val="10"/>
      <x:color rgb="FF365F91"/>
      <x:name val="Arial"/>
    </x:font>
    <x:font>
      <x:sz val="10"/>
      <x:color rgb="FF667085"/>
      <x:name val="Arial"/>
    </x:font>
    <x:font>
      <x:sz val="10"/>
      <x:color rgb="FF32669A"/>
      <x:name val="Arial"/>
    </x:font>
    <x:font>
      <x:sz val="9"/>
      <x:color rgb="FF32669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rgb="FFFFF2CE"/>
      </x:patternFill>
    </x:fill>
    <x:fill>
      <x:patternFill patternType="solid">
        <x:fgColor rgb="FFFFF8E6"/>
      </x:patternFill>
    </x:fill>
    <x:fill>
      <x:patternFill patternType="solid">
        <x:fgColor rgb="FFF2F4F7"/>
      </x:patternFill>
    </x:fill>
  </x:fills>
  <x:borders count="5">
    <x:border/>
    <x:border>
      <x:bottom style="thin">
        <x:color rgb="FFB8945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left" vertical="center"/>
    </x:xf>
    <x:xf numFmtId="200" fontId="4" fillId="7" borderId="0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76246"/>
      </x:font>
      <x:fill>
        <x:patternFill patternType="solid">
          <x:bgColor rgb="FFDDEDDD"/>
        </x:patternFill>
      </x:fill>
    </x:dxf>
    <x:dxf>
      <x:font>
        <x:color rgb="FF697586"/>
      </x:font>
      <x:fill>
        <x:patternFill patternType="solid">
          <x:bgColor rgb="FFE9ECF0"/>
        </x:patternFill>
      </x:fill>
    </x:dxf>
    <x:dxf>
      <x:font>
        <x:color rgb="FF835C1D"/>
      </x:font>
      <x:fill>
        <x:patternFill patternType="solid"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5cef1259c4700" /><Relationship Type="http://schemas.openxmlformats.org/officeDocument/2006/relationships/theme" Target="/xl/theme/theme1.xml" Id="Rd792a8376fb74b96" /><Relationship Type="http://schemas.openxmlformats.org/officeDocument/2006/relationships/sharedStrings" Target="/xl/sharedStrings.xml" Id="R29c9ea51efda432e" /><Relationship Type="http://schemas.openxmlformats.org/officeDocument/2006/relationships/worksheet" Target="/xl/worksheets/sheet1.xml" Id="R9d4393de36384f8d" /></Relationships>
</file>

<file path=xl/tables/table1.xml><?xml version="1.0" encoding="utf-8"?>
<x:table xmlns:x="http://schemas.openxmlformats.org/spreadsheetml/2006/main" id="1" name="BuffKandidaten" displayName="BuffKandidaten" ref="A9:O67" headerRowCount="1" totalsRowCount="0" totalsRowShown="0">
  <x:autoFilter ref="A9:O67"/>
  <x:tableColumns count="15">
    <x:tableColumn id="1" name="Relevant?"/>
    <x:tableColumn id="2" name="Buff / Gegenstand"/>
    <x:tableColumn id="3" name="Kategorie"/>
    <x:tableColumn id="4" name="Variante"/>
    <x:tableColumn id="5" name="Dauer (Min.)"/>
    <x:tableColumn id="6" name="Zentralmarkt"/>
    <x:tableColumn id="7" name="Eigene Notiz"/>
    <x:tableColumn id="8" name="Icondatei / Referenz"/>
    <x:tableColumn id="9" name="Name (Englisch)"/>
    <x:tableColumn id="10" name="Item-ID"/>
    <x:tableColumn id="11" name="Buff-Familie"/>
    <x:tableColumn id="12" name="Datenlage"/>
    <x:tableColumn id="13" name="Kandidaten-ID"/>
    <x:tableColumn id="14" name="Abgrenzung / Kostenhinweis"/>
    <x:tableColumn id="15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be91e997e432f" /></Relationships>
</file>

<file path=xl/worksheets/sheet1.xml><?xml version="1.0" encoding="utf-8"?>
<x:worksheet xmlns:x="http://schemas.openxmlformats.org/spreadsheetml/2006/main">
  <x:sheetPr>
    <x:tabColor rgb="FF24384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3" hidden="0" customWidth="1"/>
    <x:col min="2" max="2" width="44" hidden="0" customWidth="1"/>
    <x:col min="3" max="3" width="27" hidden="0" customWidth="1"/>
    <x:col min="4" max="4" width="29" hidden="0" customWidth="1"/>
    <x:col min="5" max="5" width="16" hidden="0" customWidth="1"/>
    <x:col min="6" max="6" width="18" hidden="0" customWidth="1"/>
    <x:col min="7" max="7" width="40" hidden="0" customWidth="1"/>
    <x:col min="8" max="8" width="34" hidden="0" customWidth="1"/>
    <x:col min="9" max="9" width="49" hidden="0" customWidth="1"/>
    <x:col min="10" max="10" width="13" hidden="0" customWidth="1"/>
    <x:col min="11" max="11" width="38" hidden="0" customWidth="1"/>
    <x:col min="12" max="12" width="22" hidden="0" customWidth="1"/>
    <x:col min="13" max="13" width="46" hidden="0" customWidth="1"/>
    <x:col min="14" max="14" width="90" hidden="0" customWidth="1"/>
    <x:col min="15" max="15" width="60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BDO Buff-Whitelist für Kostentracking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0" customHeight="1">
      <x:c r="A3" s="5" t="str">
        <x:v>Deine fünf Gruppen sind auf „Ja“ gesetzt. Gelbe Felder bleiben für Änderungen, Notizen und Iconreferenzen editierbar.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6" t="str">
        <x:v>Kandidaten</x:v>
      </x:c>
      <x:c r="B5" s="43" t="n">
        <x:f>COUNTA(BuffKandidaten[Kandidaten-ID])</x:f>
        <x:v>58</x:v>
      </x:c>
      <x:c r="C5" s="6" t="str">
        <x:v>Relevant</x:v>
      </x:c>
      <x:c r="D5" s="43" t="n">
        <x:f>COUNTIFS(BuffKandidaten[Relevant?],"Ja")</x:f>
        <x:v>58</x:v>
      </x:c>
      <x:c r="E5" s="6" t="str">
        <x:v>Ausgeschlossen</x:v>
      </x:c>
      <x:c r="F5" s="43" t="n">
        <x:f>COUNTIFS(BuffKandidaten[Relevant?],"Nein")</x:f>
        <x:v>0</x:v>
      </x:c>
      <x:c r="G5" s="41" t="str">
        <x:v>Offen</x:v>
      </x:c>
      <x:c r="H5" s="45" t="n">
        <x:f>B5-D5-F5</x:f>
        <x:v>0</x:v>
      </x:c>
      <x:c r="I5" s="2"/>
      <x:c r="J5" s="2"/>
      <x:c r="K5" s="2"/>
      <x:c r="L5" s="2"/>
      <x:c r="M5" s="2"/>
      <x:c r="N5" s="2"/>
      <x:c r="O5" s="2"/>
    </x:row>
    <x:row r="6" ht="30" customHeight="1">
      <x:c r="A6" s="7" t="str">
        <x:v>Umfang: Cron-Mahlzeiten, Harmony Draughts, Parfüms, kostenpflichtige Zeltbuffs und Mystic-Beasts-Schriftrollen. Zeltlaufzeiten separat aufgeführt.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</x:row>
    <x:row r="7" ht="30" customHeight="1">
      <x:c r="A7" s="7" t="str">
        <x:v>Stand: 21.09.2026. Leere Dauer/Item-ID = ungeklärt oder variabel. Item- und Buff-Icons können abweichen. Nur „Ja“ soll später ins Erkennungsset.</x:v>
      </x:c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</x:row>
    <x:row r="8" ht="1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32" customHeight="1">
      <x:c r="A9" s="16" t="str">
        <x:v>Relevant?</x:v>
      </x:c>
      <x:c r="B9" s="17" t="str">
        <x:v>Buff / Gegenstand</x:v>
      </x:c>
      <x:c r="C9" s="17" t="str">
        <x:v>Kategorie</x:v>
      </x:c>
      <x:c r="D9" s="17" t="str">
        <x:v>Variante</x:v>
      </x:c>
      <x:c r="E9" s="17" t="str">
        <x:v>Dauer (Min.)</x:v>
      </x:c>
      <x:c r="F9" s="17" t="str">
        <x:v>Zentralmarkt</x:v>
      </x:c>
      <x:c r="G9" s="17" t="str">
        <x:v>Eigene Notiz</x:v>
      </x:c>
      <x:c r="H9" s="17" t="str">
        <x:v>Icondatei / Referenz</x:v>
      </x:c>
      <x:c r="I9" s="17" t="str">
        <x:v>Name (Englisch)</x:v>
      </x:c>
      <x:c r="J9" s="17" t="str">
        <x:v>Item-ID</x:v>
      </x:c>
      <x:c r="K9" s="17" t="str">
        <x:v>Buff-Familie</x:v>
      </x:c>
      <x:c r="L9" s="17" t="str">
        <x:v>Datenlage</x:v>
      </x:c>
      <x:c r="M9" s="17" t="str">
        <x:v>Kandidaten-ID</x:v>
      </x:c>
      <x:c r="N9" s="17" t="str">
        <x:v>Abgrenzung / Kostenhinweis</x:v>
      </x:c>
      <x:c r="O9" s="18" t="str">
        <x:v>Quelle</x:v>
      </x:c>
    </x:row>
    <x:row r="10" ht="44" customHeight="1">
      <x:c r="A10" s="24" t="str">
        <x:v>Ja</x:v>
      </x:c>
      <x:c r="B10" s="20" t="str">
        <x:v>Cron-Mahlzeit: Exquisit</x:v>
      </x:c>
      <x:c r="C10" s="20" t="str">
        <x:v>Cron-Mahlzeiten</x:v>
      </x:c>
      <x:c r="D10" s="20" t="str">
        <x:v>Standard</x:v>
      </x:c>
      <x:c r="E10" s="29" t="n">
        <x:v>120</x:v>
      </x:c>
      <x:c r="F10" s="31" t="str">
        <x:v>Ja</x:v>
      </x:c>
      <x:c r="G10" s="26" t="str"/>
      <x:c r="H10" s="26" t="str"/>
      <x:c r="I10" s="20" t="str">
        <x:v>Exquisite Cron Meal</x:v>
      </x:c>
      <x:c r="J10" s="35" t="str">
        <x:v>9693</x:v>
      </x:c>
      <x:c r="K10" s="37" t="str">
        <x:v>food_9693</x:v>
      </x:c>
      <x:c r="L10" s="37" t="str">
        <x:v>Geprüft</x:v>
      </x:c>
      <x:c r="M10" s="37" t="str">
        <x:v>food_9693</x:v>
      </x:c>
      <x:c r="N10" s="20" t="str">
        <x:v>All AP +8; All Accuracy +15; Attack/Casting Speed +2; Movement Speed +2; Critical Hit +2; All Evasion +15; Max HP +525; Max Stamina +200; Back Attack Extra Damage +5%; Critical Hit Extra Damage +5%; All Resistance +4%</x:v>
      </x:c>
      <x:c r="O10" s="46" t="str">
        <x:v>https://bdocodex.com/us/item/9693/</x:v>
      </x:c>
    </x:row>
    <x:row r="11" ht="44" customHeight="1">
      <x:c r="A11" s="24" t="str">
        <x:v>Ja</x:v>
      </x:c>
      <x:c r="B11" s="21" t="str">
        <x:v>Cron-Mahlzeit: Meeresfrüchte</x:v>
      </x:c>
      <x:c r="C11" s="21" t="str">
        <x:v>Cron-Mahlzeiten</x:v>
      </x:c>
      <x:c r="D11" s="21" t="str">
        <x:v>Standard</x:v>
      </x:c>
      <x:c r="E11" s="30" t="n">
        <x:v>120</x:v>
      </x:c>
      <x:c r="F11" s="32" t="str">
        <x:v>Ja</x:v>
      </x:c>
      <x:c r="G11" s="26" t="str"/>
      <x:c r="H11" s="26" t="str"/>
      <x:c r="I11" s="21" t="str">
        <x:v>Seafood Cron Meal</x:v>
      </x:c>
      <x:c r="J11" s="36" t="str">
        <x:v>9691</x:v>
      </x:c>
      <x:c r="K11" s="38" t="str">
        <x:v>food_9691</x:v>
      </x:c>
      <x:c r="L11" s="38" t="str">
        <x:v>Geprüft</x:v>
      </x:c>
      <x:c r="M11" s="38" t="str">
        <x:v>food_9691</x:v>
      </x:c>
      <x:c r="N11" s="21" t="str">
        <x:v>Life EXP +10%; Processing Success Rate +10%; Gathering Speed +2; Movement Speed +2; Fishing Speed +2; Weight Limit +250 LT</x:v>
      </x:c>
      <x:c r="O11" s="47" t="str">
        <x:v>https://bdocodex.com/us/item/9691/</x:v>
      </x:c>
    </x:row>
    <x:row r="12" ht="72" customHeight="1">
      <x:c r="A12" s="24" t="str">
        <x:v>Ja</x:v>
      </x:c>
      <x:c r="B12" s="20" t="str">
        <x:v>Cron-Mahlzeit: Einfach</x:v>
      </x:c>
      <x:c r="C12" s="20" t="str">
        <x:v>Cron-Mahlzeiten</x:v>
      </x:c>
      <x:c r="D12" s="20" t="str">
        <x:v>Standard</x:v>
      </x:c>
      <x:c r="E12" s="29" t="n">
        <x:v>120</x:v>
      </x:c>
      <x:c r="F12" s="31" t="str">
        <x:v>Ja</x:v>
      </x:c>
      <x:c r="G12" s="26" t="str"/>
      <x:c r="H12" s="26" t="str"/>
      <x:c r="I12" s="20" t="str">
        <x:v>Simple Cron Meal</x:v>
      </x:c>
      <x:c r="J12" s="35" t="str">
        <x:v>9692</x:v>
      </x:c>
      <x:c r="K12" s="37" t="str">
        <x:v>food_9692</x:v>
      </x:c>
      <x:c r="L12" s="37" t="str">
        <x:v>Geprüft</x:v>
      </x:c>
      <x:c r="M12" s="37" t="str">
        <x:v>food_9692</x:v>
      </x:c>
      <x:c r="N12" s="20" t="str">
        <x:v>Extra AP Against Monsters +30; Combat EXP +20%; Skill EXP +10%; Attack/Casting Speed +2; Movement Speed +3; Critical Hit +2; Max HP +150; Knowledge Gain Chance +10%; Higher Grade Knowledge Gain Chance +5%; Weight Limit +100 LT; Back Attack Extra Damage +5%; Critical Hit Extra Damage +5%; Monster Damage Reduction Rate +6%; Heatstroke/Hypothermia Resistance +10%; Effekte und 120 Minuten auch in offizieller PA-Ankündigung bestätigt.</x:v>
      </x:c>
      <x:c r="O12" s="46" t="str">
        <x:v>https://bdocodex.com/us/item/9692/</x:v>
      </x:c>
    </x:row>
    <x:row r="13" ht="44" customHeight="1">
      <x:c r="A13" s="24" t="str">
        <x:v>Ja</x:v>
      </x:c>
      <x:c r="B13" s="21" t="str">
        <x:v>[Gruppe] Arznei der Harmonie – Halbmenschen</x:v>
      </x:c>
      <x:c r="C13" s="21" t="str">
        <x:v>Harmony Draughts</x:v>
      </x:c>
      <x:c r="D13" s="21" t="str">
        <x:v>Gruppe</x:v>
      </x:c>
      <x:c r="E13" s="30" t="n">
        <x:v>20</x:v>
      </x:c>
      <x:c r="F13" s="32" t="str">
        <x:v>Ja</x:v>
      </x:c>
      <x:c r="G13" s="26" t="str"/>
      <x:c r="H13" s="26" t="str"/>
      <x:c r="I13" s="21" t="str">
        <x:v>[Party] Harmony Draught - Demihuman</x:v>
      </x:c>
      <x:c r="J13" s="36" t="str">
        <x:v>1403</x:v>
      </x:c>
      <x:c r="K13" s="38" t="str">
        <x:v>party-harmony-draught-demihuman</x:v>
      </x:c>
      <x:c r="L13" s="38" t="str">
        <x:v>Geprüft</x:v>
      </x:c>
      <x:c r="M13" s="38" t="str">
        <x:v>party-harmony-draught-demihuman</x:v>
      </x:c>
      <x:c r="N13" s="21" t="str">
        <x:v>Verbrauch: 1 Arznei. Marktzuordnung zusätzlich durch PA-Zentralmarktmitteilung vom 21.08.2026 bestätigt. Fremde Gruppenbuffs belegen keinen eigenen Verbrauch.</x:v>
      </x:c>
      <x:c r="O13" s="47" t="str">
        <x:v>https://bdocodex.com/us/item/1403/</x:v>
      </x:c>
    </x:row>
    <x:row r="14" ht="44" customHeight="1">
      <x:c r="A14" s="24" t="str">
        <x:v>Ja</x:v>
      </x:c>
      <x:c r="B14" s="20" t="str">
        <x:v>[Gruppe] Arznei der Harmonie – Edania</x:v>
      </x:c>
      <x:c r="C14" s="20" t="str">
        <x:v>Harmony Draughts</x:v>
      </x:c>
      <x:c r="D14" s="20" t="str">
        <x:v>Gruppe</x:v>
      </x:c>
      <x:c r="E14" s="29" t="n">
        <x:v>20</x:v>
      </x:c>
      <x:c r="F14" s="31" t="str">
        <x:v>Ja</x:v>
      </x:c>
      <x:c r="G14" s="26" t="str"/>
      <x:c r="H14" s="26" t="str"/>
      <x:c r="I14" s="20" t="str">
        <x:v>[Party] Harmony Draught - Edania</x:v>
      </x:c>
      <x:c r="J14" s="35" t="str">
        <x:v>1407</x:v>
      </x:c>
      <x:c r="K14" s="37" t="str">
        <x:v>party-harmony-draught-edania</x:v>
      </x:c>
      <x:c r="L14" s="37" t="str">
        <x:v>Geprüft</x:v>
      </x:c>
      <x:c r="M14" s="37" t="str">
        <x:v>party-harmony-draught-edania</x:v>
      </x:c>
      <x:c r="N14" s="20" t="str">
        <x:v>Verbrauch: 1 Arznei. Marktzuordnung zusätzlich durch PA-Zentralmarktmitteilung vom 21.08.2026 bestätigt. Fremde Gruppenbuffs belegen keinen eigenen Verbrauch.</x:v>
      </x:c>
      <x:c r="O14" s="46" t="str">
        <x:v>https://bdocodex.com/us/item/1407/</x:v>
      </x:c>
    </x:row>
    <x:row r="15" ht="44" customHeight="1">
      <x:c r="A15" s="24" t="str">
        <x:v>Ja</x:v>
      </x:c>
      <x:c r="B15" s="21" t="str">
        <x:v>[Gruppe] Arznei der Harmonie – Menschen</x:v>
      </x:c>
      <x:c r="C15" s="21" t="str">
        <x:v>Harmony Draughts</x:v>
      </x:c>
      <x:c r="D15" s="21" t="str">
        <x:v>Gruppe</x:v>
      </x:c>
      <x:c r="E15" s="30" t="n">
        <x:v>20</x:v>
      </x:c>
      <x:c r="F15" s="32" t="str">
        <x:v>Ja</x:v>
      </x:c>
      <x:c r="G15" s="26" t="str"/>
      <x:c r="H15" s="26" t="str"/>
      <x:c r="I15" s="21" t="str">
        <x:v>[Party] Harmony Draught - Human</x:v>
      </x:c>
      <x:c r="J15" s="36" t="str">
        <x:v>1401</x:v>
      </x:c>
      <x:c r="K15" s="38" t="str">
        <x:v>party-harmony-draught-human</x:v>
      </x:c>
      <x:c r="L15" s="38" t="str">
        <x:v>Geprüft</x:v>
      </x:c>
      <x:c r="M15" s="38" t="str">
        <x:v>party-harmony-draught-human</x:v>
      </x:c>
      <x:c r="N15" s="21" t="str">
        <x:v>Verbrauch: 1 Arznei. Marktzuordnung zusätzlich durch PA-Zentralmarktmitteilung vom 21.08.2026 bestätigt. Fremde Gruppenbuffs belegen keinen eigenen Verbrauch.</x:v>
      </x:c>
      <x:c r="O15" s="47" t="str">
        <x:v>https://bdocodex.com/us/item/1401/</x:v>
      </x:c>
    </x:row>
    <x:row r="16" ht="44" customHeight="1">
      <x:c r="A16" s="24" t="str">
        <x:v>Ja</x:v>
      </x:c>
      <x:c r="B16" s="20" t="str">
        <x:v>[Gruppe] Arznei der Harmonie – Kamasilvia</x:v>
      </x:c>
      <x:c r="C16" s="20" t="str">
        <x:v>Harmony Draughts</x:v>
      </x:c>
      <x:c r="D16" s="20" t="str">
        <x:v>Gruppe</x:v>
      </x:c>
      <x:c r="E16" s="29" t="n">
        <x:v>20</x:v>
      </x:c>
      <x:c r="F16" s="31" t="str">
        <x:v>Ja</x:v>
      </x:c>
      <x:c r="G16" s="26" t="str"/>
      <x:c r="H16" s="26" t="str"/>
      <x:c r="I16" s="20" t="str">
        <x:v>[Party] Harmony Draught - Kamasylvia</x:v>
      </x:c>
      <x:c r="J16" s="35" t="str">
        <x:v>1405</x:v>
      </x:c>
      <x:c r="K16" s="37" t="str">
        <x:v>party-harmony-draught-kamasylvia</x:v>
      </x:c>
      <x:c r="L16" s="37" t="str">
        <x:v>Geprüft</x:v>
      </x:c>
      <x:c r="M16" s="37" t="str">
        <x:v>party-harmony-draught-kamasylvia</x:v>
      </x:c>
      <x:c r="N16" s="20" t="str">
        <x:v>Verbrauch: 1 Arznei. Marktzuordnung zusätzlich durch PA-Zentralmarktmitteilung vom 21.08.2026 bestätigt. Fremde Gruppenbuffs belegen keinen eigenen Verbrauch.</x:v>
      </x:c>
      <x:c r="O16" s="46" t="str">
        <x:v>https://bdocodex.com/us/item/1405/</x:v>
      </x:c>
    </x:row>
    <x:row r="17" ht="44" customHeight="1">
      <x:c r="A17" s="24" t="str">
        <x:v>Ja</x:v>
      </x:c>
      <x:c r="B17" s="21" t="str">
        <x:v>[Gruppe] Unsterblich: Arznei der Harmonie – Halbmenschen</x:v>
      </x:c>
      <x:c r="C17" s="21" t="str">
        <x:v>Harmony Draughts</x:v>
      </x:c>
      <x:c r="D17" s="21" t="str">
        <x:v>Unsterblich</x:v>
      </x:c>
      <x:c r="E17" s="30" t="n">
        <x:v>20</x:v>
      </x:c>
      <x:c r="F17" s="32" t="str">
        <x:v>Ja</x:v>
      </x:c>
      <x:c r="G17" s="26" t="str"/>
      <x:c r="H17" s="26" t="str"/>
      <x:c r="I17" s="21" t="str">
        <x:v>[Party] Immortal: Harmony Draught - Demihuman</x:v>
      </x:c>
      <x:c r="J17" s="36" t="str">
        <x:v>1404</x:v>
      </x:c>
      <x:c r="K17" s="38" t="str">
        <x:v>party-immortal-harmony-draught-demihuman</x:v>
      </x:c>
      <x:c r="L17" s="38" t="str">
        <x:v>Geprüft</x:v>
      </x:c>
      <x:c r="M17" s="38" t="str">
        <x:v>party-immortal-harmony-draught-demihuman</x:v>
      </x:c>
      <x:c r="N17" s="21" t="str">
        <x:v>Verbrauch: 1 Arznei. Marktzuordnung zusätzlich durch PA-Zentralmarktmitteilung vom 21.08.2026 bestätigt. Fremde Gruppenbuffs belegen keinen eigenen Verbrauch.</x:v>
      </x:c>
      <x:c r="O17" s="47" t="str">
        <x:v>https://bdocodex.com/us/item/1404/</x:v>
      </x:c>
    </x:row>
    <x:row r="18" ht="44" customHeight="1">
      <x:c r="A18" s="24" t="str">
        <x:v>Ja</x:v>
      </x:c>
      <x:c r="B18" s="20" t="str">
        <x:v>[Gruppe] Unsterblich: Arznei der Harmonie – Edania</x:v>
      </x:c>
      <x:c r="C18" s="20" t="str">
        <x:v>Harmony Draughts</x:v>
      </x:c>
      <x:c r="D18" s="20" t="str">
        <x:v>Unsterblich</x:v>
      </x:c>
      <x:c r="E18" s="29" t="n">
        <x:v>20</x:v>
      </x:c>
      <x:c r="F18" s="31" t="str">
        <x:v>Ja</x:v>
      </x:c>
      <x:c r="G18" s="26" t="str"/>
      <x:c r="H18" s="26" t="str"/>
      <x:c r="I18" s="20" t="str">
        <x:v>[Party] Immortal: Harmony Draught - Edania</x:v>
      </x:c>
      <x:c r="J18" s="35" t="str">
        <x:v>1408</x:v>
      </x:c>
      <x:c r="K18" s="37" t="str">
        <x:v>party-immortal-harmony-draught-edania</x:v>
      </x:c>
      <x:c r="L18" s="37" t="str">
        <x:v>Geprüft</x:v>
      </x:c>
      <x:c r="M18" s="37" t="str">
        <x:v>party-immortal-harmony-draught-edania</x:v>
      </x:c>
      <x:c r="N18" s="20" t="str">
        <x:v>Verbrauch: 1 Arznei. Marktzuordnung zusätzlich durch PA-Zentralmarktmitteilung vom 21.08.2026 bestätigt. Fremde Gruppenbuffs belegen keinen eigenen Verbrauch.</x:v>
      </x:c>
      <x:c r="O18" s="46" t="str">
        <x:v>https://bdocodex.com/us/item/1408/</x:v>
      </x:c>
    </x:row>
    <x:row r="19" ht="44" customHeight="1">
      <x:c r="A19" s="24" t="str">
        <x:v>Ja</x:v>
      </x:c>
      <x:c r="B19" s="21" t="str">
        <x:v>[Gruppe] Unsterblich: Arznei der Harmonie – Menschen</x:v>
      </x:c>
      <x:c r="C19" s="21" t="str">
        <x:v>Harmony Draughts</x:v>
      </x:c>
      <x:c r="D19" s="21" t="str">
        <x:v>Unsterblich</x:v>
      </x:c>
      <x:c r="E19" s="30" t="n">
        <x:v>20</x:v>
      </x:c>
      <x:c r="F19" s="32" t="str">
        <x:v>Ja</x:v>
      </x:c>
      <x:c r="G19" s="26" t="str"/>
      <x:c r="H19" s="26" t="str"/>
      <x:c r="I19" s="21" t="str">
        <x:v>[Party] Immortal: Harmony Draught - Human</x:v>
      </x:c>
      <x:c r="J19" s="36" t="str">
        <x:v>1402</x:v>
      </x:c>
      <x:c r="K19" s="38" t="str">
        <x:v>party-immortal-harmony-draught-human</x:v>
      </x:c>
      <x:c r="L19" s="38" t="str">
        <x:v>Geprüft</x:v>
      </x:c>
      <x:c r="M19" s="38" t="str">
        <x:v>party-immortal-harmony-draught-human</x:v>
      </x:c>
      <x:c r="N19" s="21" t="str">
        <x:v>Verbrauch: 1 Arznei. Marktzuordnung zusätzlich durch PA-Zentralmarktmitteilung vom 21.08.2026 bestätigt. Fremde Gruppenbuffs belegen keinen eigenen Verbrauch.</x:v>
      </x:c>
      <x:c r="O19" s="47" t="str">
        <x:v>https://bdocodex.com/us/item/1402/</x:v>
      </x:c>
    </x:row>
    <x:row r="20" ht="44" customHeight="1">
      <x:c r="A20" s="24" t="str">
        <x:v>Ja</x:v>
      </x:c>
      <x:c r="B20" s="20" t="str">
        <x:v>[Gruppe] Unsterblich: Arznei der Harmonie – Kamasilvia</x:v>
      </x:c>
      <x:c r="C20" s="20" t="str">
        <x:v>Harmony Draughts</x:v>
      </x:c>
      <x:c r="D20" s="20" t="str">
        <x:v>Unsterblich</x:v>
      </x:c>
      <x:c r="E20" s="29" t="n">
        <x:v>20</x:v>
      </x:c>
      <x:c r="F20" s="31" t="str">
        <x:v>Ja</x:v>
      </x:c>
      <x:c r="G20" s="26" t="str"/>
      <x:c r="H20" s="26" t="str"/>
      <x:c r="I20" s="20" t="str">
        <x:v>[Party] Immortal: Harmony Draught - Kamasylvia</x:v>
      </x:c>
      <x:c r="J20" s="35" t="str">
        <x:v>1406</x:v>
      </x:c>
      <x:c r="K20" s="37" t="str">
        <x:v>party-immortal-harmony-draught-kamasylvia</x:v>
      </x:c>
      <x:c r="L20" s="37" t="str">
        <x:v>Geprüft</x:v>
      </x:c>
      <x:c r="M20" s="37" t="str">
        <x:v>party-immortal-harmony-draught-kamasylvia</x:v>
      </x:c>
      <x:c r="N20" s="20" t="str">
        <x:v>Verbrauch: 1 Arznei. Marktzuordnung zusätzlich durch PA-Zentralmarktmitteilung vom 21.08.2026 bestätigt. Fremde Gruppenbuffs belegen keinen eigenen Verbrauch.</x:v>
      </x:c>
      <x:c r="O20" s="46" t="str">
        <x:v>https://bdocodex.com/us/item/1406/</x:v>
      </x:c>
    </x:row>
    <x:row r="21" ht="44" customHeight="1">
      <x:c r="A21" s="24" t="str">
        <x:v>Ja</x:v>
      </x:c>
      <x:c r="B21" s="21" t="str">
        <x:v>Arznei der Harmonie</x:v>
      </x:c>
      <x:c r="C21" s="21" t="str">
        <x:v>Harmony Draughts</x:v>
      </x:c>
      <x:c r="D21" s="21" t="str">
        <x:v>Standard</x:v>
      </x:c>
      <x:c r="E21" s="30" t="n">
        <x:v>20</x:v>
      </x:c>
      <x:c r="F21" s="32" t="str">
        <x:v>Ja</x:v>
      </x:c>
      <x:c r="G21" s="26" t="str"/>
      <x:c r="H21" s="26" t="str"/>
      <x:c r="I21" s="21" t="str">
        <x:v>Harmony Draught</x:v>
      </x:c>
      <x:c r="J21" s="36" t="str">
        <x:v>1399</x:v>
      </x:c>
      <x:c r="K21" s="38" t="str">
        <x:v>harmony-draught</x:v>
      </x:c>
      <x:c r="L21" s="38" t="str">
        <x:v>Geprüft</x:v>
      </x:c>
      <x:c r="M21" s="38" t="str">
        <x:v>harmony-draught</x:v>
      </x:c>
      <x:c r="N21" s="21" t="str">
        <x:v>Verbrauch: 1 Arznei. Marktzuordnung zusätzlich durch PA-Zentralmarktmitteilung vom 21.08.2026 bestätigt.</x:v>
      </x:c>
      <x:c r="O21" s="47" t="str">
        <x:v>https://bdocodex.com/us/item/1399/</x:v>
      </x:c>
    </x:row>
    <x:row r="22" ht="44" customHeight="1">
      <x:c r="A22" s="24" t="str">
        <x:v>Ja</x:v>
      </x:c>
      <x:c r="B22" s="20" t="str">
        <x:v>Unsterblich: Arznei der Harmonie</x:v>
      </x:c>
      <x:c r="C22" s="20" t="str">
        <x:v>Harmony Draughts</x:v>
      </x:c>
      <x:c r="D22" s="20" t="str">
        <x:v>Unsterblich</x:v>
      </x:c>
      <x:c r="E22" s="29" t="n">
        <x:v>20</x:v>
      </x:c>
      <x:c r="F22" s="31" t="str">
        <x:v>Ja</x:v>
      </x:c>
      <x:c r="G22" s="26" t="str"/>
      <x:c r="H22" s="26" t="str"/>
      <x:c r="I22" s="20" t="str">
        <x:v>Immortal: Harmony Draught</x:v>
      </x:c>
      <x:c r="J22" s="35" t="str">
        <x:v>1400</x:v>
      </x:c>
      <x:c r="K22" s="37" t="str">
        <x:v>immortal-harmony-draught</x:v>
      </x:c>
      <x:c r="L22" s="37" t="str">
        <x:v>Geprüft</x:v>
      </x:c>
      <x:c r="M22" s="37" t="str">
        <x:v>immortal-harmony-draught</x:v>
      </x:c>
      <x:c r="N22" s="20" t="str">
        <x:v>Verbrauch: 1 Arznei. Marktzuordnung zusätzlich durch PA-Zentralmarktmitteilung vom 21.08.2026 bestätigt.</x:v>
      </x:c>
      <x:c r="O22" s="46" t="str">
        <x:v>https://bdocodex.com/us/item/1400/</x:v>
      </x:c>
    </x:row>
    <x:row r="23" ht="44" customHeight="1">
      <x:c r="A23" s="24" t="str">
        <x:v>Ja</x:v>
      </x:c>
      <x:c r="B23" s="21" t="str">
        <x:v>Unsterblich: Belebendes Geisterparfüm</x:v>
      </x:c>
      <x:c r="C23" s="21" t="str">
        <x:v>Parfüms</x:v>
      </x:c>
      <x:c r="D23" s="21" t="str">
        <x:v>Unsterblich</x:v>
      </x:c>
      <x:c r="E23" s="30" t="n">
        <x:v>20</x:v>
      </x:c>
      <x:c r="F23" s="32" t="str">
        <x:v>Prüfen</x:v>
      </x:c>
      <x:c r="G23" s="26" t="str"/>
      <x:c r="H23" s="26" t="str"/>
      <x:c r="I23" s="21" t="str">
        <x:v>Immortal: Perfume of Bracing Spirits</x:v>
      </x:c>
      <x:c r="J23" s="36" t="str">
        <x:v>875</x:v>
      </x:c>
      <x:c r="K23" s="38" t="str">
        <x:v>immortal-perfume-of-bracing-spirits</x:v>
      </x:c>
      <x:c r="L23" s="38" t="str">
        <x:v>Details prüfen</x:v>
      </x:c>
      <x:c r="M23" s="38" t="str">
        <x:v>immortal-perfume-of-bracing-spirits</x:v>
      </x:c>
      <x:c r="N23" s="21" t="str">
        <x:v>Unsterbliche Variante; eigener Verbrauchsgegenstand. Marktzuordnung prüfen: Datenbank lädt Preisdaten dynamisch; hier kein eingebetteter Preisnachweis.</x:v>
      </x:c>
      <x:c r="O23" s="47" t="str">
        <x:v>https://bdocodex.com/us/item/875/</x:v>
      </x:c>
    </x:row>
    <x:row r="24" ht="44" customHeight="1">
      <x:c r="A24" s="24" t="str">
        <x:v>Ja</x:v>
      </x:c>
      <x:c r="B24" s="20" t="str">
        <x:v>Unsterblich: Parfüm des Charmes</x:v>
      </x:c>
      <x:c r="C24" s="20" t="str">
        <x:v>Parfüms</x:v>
      </x:c>
      <x:c r="D24" s="20" t="str">
        <x:v>Unsterblich</x:v>
      </x:c>
      <x:c r="E24" s="29" t="n">
        <x:v>20</x:v>
      </x:c>
      <x:c r="F24" s="31" t="str">
        <x:v>Prüfen</x:v>
      </x:c>
      <x:c r="G24" s="26" t="str"/>
      <x:c r="H24" s="26" t="str"/>
      <x:c r="I24" s="20" t="str">
        <x:v>Immortal: Perfume of Charm</x:v>
      </x:c>
      <x:c r="J24" s="35" t="str">
        <x:v>877</x:v>
      </x:c>
      <x:c r="K24" s="37" t="str">
        <x:v>immortal-perfume-of-charm</x:v>
      </x:c>
      <x:c r="L24" s="37" t="str">
        <x:v>Details prüfen</x:v>
      </x:c>
      <x:c r="M24" s="37" t="str">
        <x:v>immortal-perfume-of-charm</x:v>
      </x:c>
      <x:c r="N24" s="20" t="str">
        <x:v>Unsterbliche Variante; eigener Verbrauchsgegenstand. Marktzuordnung prüfen: Datenbank lädt Preisdaten dynamisch; hier kein eingebetteter Preisnachweis.</x:v>
      </x:c>
      <x:c r="O24" s="46" t="str">
        <x:v>https://bdocodex.com/us/item/877/</x:v>
      </x:c>
    </x:row>
    <x:row r="25" ht="44" customHeight="1">
      <x:c r="A25" s="24" t="str">
        <x:v>Ja</x:v>
      </x:c>
      <x:c r="B25" s="21" t="str">
        <x:v>Unsterblich: Parfüm des Mutes</x:v>
      </x:c>
      <x:c r="C25" s="21" t="str">
        <x:v>Parfüms</x:v>
      </x:c>
      <x:c r="D25" s="21" t="str">
        <x:v>Unsterblich</x:v>
      </x:c>
      <x:c r="E25" s="30" t="n">
        <x:v>20</x:v>
      </x:c>
      <x:c r="F25" s="32" t="str">
        <x:v>Ja</x:v>
      </x:c>
      <x:c r="G25" s="26" t="str"/>
      <x:c r="H25" s="26" t="str"/>
      <x:c r="I25" s="21" t="str">
        <x:v>Immortal: Perfume of Courage</x:v>
      </x:c>
      <x:c r="J25" s="36" t="str">
        <x:v>1167</x:v>
      </x:c>
      <x:c r="K25" s="38" t="str">
        <x:v>immortal-perfume-of-courage</x:v>
      </x:c>
      <x:c r="L25" s="38" t="str">
        <x:v>Geprüft</x:v>
      </x:c>
      <x:c r="M25" s="38" t="str">
        <x:v>immortal-perfume-of-courage</x:v>
      </x:c>
      <x:c r="N25" s="21" t="str">
        <x:v>Unsterbliche Variante; eigener Verbrauchsgegenstand.</x:v>
      </x:c>
      <x:c r="O25" s="47" t="str">
        <x:v>https://bdocodex.com/us/item/1167/</x:v>
      </x:c>
    </x:row>
    <x:row r="26" ht="44" customHeight="1">
      <x:c r="A26" s="24" t="str">
        <x:v>Ja</x:v>
      </x:c>
      <x:c r="B26" s="20" t="str">
        <x:v>Unsterblich: Tiefsee-Parfüm</x:v>
      </x:c>
      <x:c r="C26" s="20" t="str">
        <x:v>Parfüms</x:v>
      </x:c>
      <x:c r="D26" s="20" t="str">
        <x:v>Unsterblich</x:v>
      </x:c>
      <x:c r="E26" s="29" t="n">
        <x:v>20</x:v>
      </x:c>
      <x:c r="F26" s="31" t="str">
        <x:v>Prüfen</x:v>
      </x:c>
      <x:c r="G26" s="26" t="str"/>
      <x:c r="H26" s="26" t="str"/>
      <x:c r="I26" s="20" t="str">
        <x:v>Immortal: Perfume of Deep Sea</x:v>
      </x:c>
      <x:c r="J26" s="35" t="str">
        <x:v>1169</x:v>
      </x:c>
      <x:c r="K26" s="37" t="str">
        <x:v>immortal-perfume-of-deep-sea</x:v>
      </x:c>
      <x:c r="L26" s="37" t="str">
        <x:v>Details prüfen</x:v>
      </x:c>
      <x:c r="M26" s="37" t="str">
        <x:v>immortal-perfume-of-deep-sea</x:v>
      </x:c>
      <x:c r="N26" s="20" t="str">
        <x:v>Unsterbliche Variante; eigener Verbrauchsgegenstand. Marktzuordnung prüfen: Datenbank lädt Preisdaten dynamisch; hier kein eingebetteter Preisnachweis.</x:v>
      </x:c>
      <x:c r="O26" s="46" t="str">
        <x:v>https://bdocodex.com/us/item/1169/</x:v>
      </x:c>
    </x:row>
    <x:row r="27" ht="44" customHeight="1">
      <x:c r="A27" s="24" t="str">
        <x:v>Ja</x:v>
      </x:c>
      <x:c r="B27" s="21" t="str">
        <x:v>Unsterblich: Parfüm der Sehnsucht</x:v>
      </x:c>
      <x:c r="C27" s="21" t="str">
        <x:v>Parfüms</x:v>
      </x:c>
      <x:c r="D27" s="21" t="str">
        <x:v>Unsterblich</x:v>
      </x:c>
      <x:c r="E27" s="30" t="n">
        <x:v>20</x:v>
      </x:c>
      <x:c r="F27" s="32" t="str">
        <x:v>Prüfen</x:v>
      </x:c>
      <x:c r="G27" s="26" t="str"/>
      <x:c r="H27" s="26" t="str"/>
      <x:c r="I27" s="21" t="str">
        <x:v>Immortal: Perfume of Envy</x:v>
      </x:c>
      <x:c r="J27" s="36" t="str">
        <x:v>1412</x:v>
      </x:c>
      <x:c r="K27" s="38" t="str">
        <x:v>immortal-perfume-of-envy</x:v>
      </x:c>
      <x:c r="L27" s="38" t="str">
        <x:v>Details prüfen</x:v>
      </x:c>
      <x:c r="M27" s="38" t="str">
        <x:v>immortal-perfume-of-envy</x:v>
      </x:c>
      <x:c r="N27" s="21" t="str">
        <x:v>Unsterbliche Variante; eigener Verbrauchsgegenstand. Marktzuordnung prüfen: Datenbank lädt Preisdaten dynamisch; hier kein eingebetteter Preisnachweis.</x:v>
      </x:c>
      <x:c r="O27" s="47" t="str">
        <x:v>https://bdocodex.com/us/item/1412/</x:v>
      </x:c>
    </x:row>
    <x:row r="28" ht="44" customHeight="1">
      <x:c r="A28" s="24" t="str">
        <x:v>Ja</x:v>
      </x:c>
      <x:c r="B28" s="20" t="str">
        <x:v>Unsterblich: Parfüm der Einsicht</x:v>
      </x:c>
      <x:c r="C28" s="20" t="str">
        <x:v>Parfüms</x:v>
      </x:c>
      <x:c r="D28" s="20" t="str">
        <x:v>Unsterblich</x:v>
      </x:c>
      <x:c r="E28" s="29" t="n">
        <x:v>20</x:v>
      </x:c>
      <x:c r="F28" s="31" t="str">
        <x:v>Prüfen</x:v>
      </x:c>
      <x:c r="G28" s="26" t="str"/>
      <x:c r="H28" s="26" t="str"/>
      <x:c r="I28" s="20" t="str">
        <x:v>Immortal: Perfume of Insight</x:v>
      </x:c>
      <x:c r="J28" s="35" t="str">
        <x:v>874</x:v>
      </x:c>
      <x:c r="K28" s="37" t="str">
        <x:v>immortal-perfume-of-insight</x:v>
      </x:c>
      <x:c r="L28" s="37" t="str">
        <x:v>Details prüfen</x:v>
      </x:c>
      <x:c r="M28" s="37" t="str">
        <x:v>immortal-perfume-of-insight</x:v>
      </x:c>
      <x:c r="N28" s="20" t="str">
        <x:v>Unsterbliche Variante; eigener Verbrauchsgegenstand. Marktzuordnung prüfen: Datenbank lädt Preisdaten dynamisch; hier kein eingebetteter Preisnachweis.</x:v>
      </x:c>
      <x:c r="O28" s="46" t="str">
        <x:v>https://bdocodex.com/us/item/874/</x:v>
      </x:c>
    </x:row>
    <x:row r="29" ht="44" customHeight="1">
      <x:c r="A29" s="24" t="str">
        <x:v>Ja</x:v>
      </x:c>
      <x:c r="B29" s="21" t="str">
        <x:v>Unsterblich: Khalks Parfüm</x:v>
      </x:c>
      <x:c r="C29" s="21" t="str">
        <x:v>Parfüms</x:v>
      </x:c>
      <x:c r="D29" s="21" t="str">
        <x:v>Unsterblich</x:v>
      </x:c>
      <x:c r="E29" s="30" t="n">
        <x:v>20</x:v>
      </x:c>
      <x:c r="F29" s="32" t="str">
        <x:v>Prüfen</x:v>
      </x:c>
      <x:c r="G29" s="26" t="str"/>
      <x:c r="H29" s="26" t="str"/>
      <x:c r="I29" s="21" t="str">
        <x:v>Immortal: Perfume of Khalk</x:v>
      </x:c>
      <x:c r="J29" s="36" t="str">
        <x:v>1168</x:v>
      </x:c>
      <x:c r="K29" s="38" t="str">
        <x:v>immortal-perfume-of-khalk</x:v>
      </x:c>
      <x:c r="L29" s="38" t="str">
        <x:v>Details prüfen</x:v>
      </x:c>
      <x:c r="M29" s="38" t="str">
        <x:v>immortal-perfume-of-khalk</x:v>
      </x:c>
      <x:c r="N29" s="21" t="str">
        <x:v>Unsterbliche Variante; eigener Verbrauchsgegenstand. Marktzuordnung prüfen: Datenbank lädt Preisdaten dynamisch; hier kein eingebetteter Preisnachweis.</x:v>
      </x:c>
      <x:c r="O29" s="47" t="str">
        <x:v>https://bdocodex.com/us/item/1168/</x:v>
      </x:c>
    </x:row>
    <x:row r="30" ht="44" customHeight="1">
      <x:c r="A30" s="24" t="str">
        <x:v>Ja</x:v>
      </x:c>
      <x:c r="B30" s="20" t="str">
        <x:v>Unsterblich: Geisterparfüm</x:v>
      </x:c>
      <x:c r="C30" s="20" t="str">
        <x:v>Parfüms</x:v>
      </x:c>
      <x:c r="D30" s="20" t="str">
        <x:v>Unsterblich</x:v>
      </x:c>
      <x:c r="E30" s="29" t="n">
        <x:v>20</x:v>
      </x:c>
      <x:c r="F30" s="31" t="str">
        <x:v>Prüfen</x:v>
      </x:c>
      <x:c r="G30" s="26" t="str"/>
      <x:c r="H30" s="26" t="str"/>
      <x:c r="I30" s="20" t="str">
        <x:v>Immortal: Perfume of Spirits</x:v>
      </x:c>
      <x:c r="J30" s="35" t="str">
        <x:v>1166</x:v>
      </x:c>
      <x:c r="K30" s="37" t="str">
        <x:v>immortal-perfume-of-spirits</x:v>
      </x:c>
      <x:c r="L30" s="37" t="str">
        <x:v>Details prüfen</x:v>
      </x:c>
      <x:c r="M30" s="37" t="str">
        <x:v>immortal-perfume-of-spirits</x:v>
      </x:c>
      <x:c r="N30" s="20" t="str">
        <x:v>Unsterbliche Variante; eigener Verbrauchsgegenstand. Marktzuordnung prüfen: Datenbank lädt Preisdaten dynamisch; hier kein eingebetteter Preisnachweis.</x:v>
      </x:c>
      <x:c r="O30" s="46" t="str">
        <x:v>https://bdocodex.com/us/item/1166/</x:v>
      </x:c>
    </x:row>
    <x:row r="31" ht="44" customHeight="1">
      <x:c r="A31" s="24" t="str">
        <x:v>Ja</x:v>
      </x:c>
      <x:c r="B31" s="21" t="str">
        <x:v>Unsterblich: Parfüm der Beharrlichkeit</x:v>
      </x:c>
      <x:c r="C31" s="21" t="str">
        <x:v>Parfüms</x:v>
      </x:c>
      <x:c r="D31" s="21" t="str">
        <x:v>Unsterblich</x:v>
      </x:c>
      <x:c r="E31" s="30" t="n">
        <x:v>20</x:v>
      </x:c>
      <x:c r="F31" s="32" t="str">
        <x:v>Prüfen</x:v>
      </x:c>
      <x:c r="G31" s="26" t="str"/>
      <x:c r="H31" s="26" t="str"/>
      <x:c r="I31" s="21" t="str">
        <x:v>Immortal: Perfume of Tenacity</x:v>
      </x:c>
      <x:c r="J31" s="36" t="str">
        <x:v>1414</x:v>
      </x:c>
      <x:c r="K31" s="38" t="str">
        <x:v>immortal-perfume-of-tenacity</x:v>
      </x:c>
      <x:c r="L31" s="38" t="str">
        <x:v>Details prüfen</x:v>
      </x:c>
      <x:c r="M31" s="38" t="str">
        <x:v>immortal-perfume-of-tenacity</x:v>
      </x:c>
      <x:c r="N31" s="21" t="str">
        <x:v>Unsterbliche Variante; eigener Verbrauchsgegenstand. Marktzuordnung prüfen: Datenbank lädt Preisdaten dynamisch; hier kein eingebetteter Preisnachweis.</x:v>
      </x:c>
      <x:c r="O31" s="47" t="str">
        <x:v>https://bdocodex.com/us/item/1414/</x:v>
      </x:c>
    </x:row>
    <x:row r="32" ht="44" customHeight="1">
      <x:c r="A32" s="24" t="str">
        <x:v>Ja</x:v>
      </x:c>
      <x:c r="B32" s="20" t="str">
        <x:v>Belebendes Geisterparfüm</x:v>
      </x:c>
      <x:c r="C32" s="20" t="str">
        <x:v>Parfüms</x:v>
      </x:c>
      <x:c r="D32" s="20" t="str">
        <x:v>Standard</x:v>
      </x:c>
      <x:c r="E32" s="29" t="n">
        <x:v>20</x:v>
      </x:c>
      <x:c r="F32" s="31" t="str">
        <x:v>Prüfen</x:v>
      </x:c>
      <x:c r="G32" s="26" t="str"/>
      <x:c r="H32" s="26" t="str"/>
      <x:c r="I32" s="20" t="str">
        <x:v>Perfume of Bracing Spirits</x:v>
      </x:c>
      <x:c r="J32" s="35" t="str">
        <x:v>872</x:v>
      </x:c>
      <x:c r="K32" s="37" t="str">
        <x:v>perfume-of-bracing-spirits</x:v>
      </x:c>
      <x:c r="L32" s="37" t="str">
        <x:v>Details prüfen</x:v>
      </x:c>
      <x:c r="M32" s="37" t="str">
        <x:v>perfume-of-bracing-spirits</x:v>
      </x:c>
      <x:c r="N32" s="20" t="str">
        <x:v>Marktzuordnung prüfen: Datenbank lädt Preisdaten dynamisch; hier kein eingebetteter Preisnachweis.</x:v>
      </x:c>
      <x:c r="O32" s="46" t="str">
        <x:v>https://bdocodex.com/us/item/872/</x:v>
      </x:c>
    </x:row>
    <x:row r="33" ht="44" customHeight="1">
      <x:c r="A33" s="24" t="str">
        <x:v>Ja</x:v>
      </x:c>
      <x:c r="B33" s="21" t="str">
        <x:v>Parfüm des Charmes</x:v>
      </x:c>
      <x:c r="C33" s="21" t="str">
        <x:v>Parfüms</x:v>
      </x:c>
      <x:c r="D33" s="21" t="str">
        <x:v>Standard</x:v>
      </x:c>
      <x:c r="E33" s="30" t="n">
        <x:v>20</x:v>
      </x:c>
      <x:c r="F33" s="32" t="str">
        <x:v>Ja</x:v>
      </x:c>
      <x:c r="G33" s="26" t="str"/>
      <x:c r="H33" s="26" t="str"/>
      <x:c r="I33" s="21" t="str">
        <x:v>Perfume of Charm</x:v>
      </x:c>
      <x:c r="J33" s="36" t="str">
        <x:v>1161</x:v>
      </x:c>
      <x:c r="K33" s="38" t="str">
        <x:v>perfume-of-charm</x:v>
      </x:c>
      <x:c r="L33" s="38" t="str">
        <x:v>Geprüft</x:v>
      </x:c>
      <x:c r="M33" s="38" t="str">
        <x:v>perfume-of-charm</x:v>
      </x:c>
      <x:c r="N33" s="21" t="str"/>
      <x:c r="O33" s="47" t="str">
        <x:v>https://bdocodex.com/us/item/1161/</x:v>
      </x:c>
    </x:row>
    <x:row r="34" ht="44" customHeight="1">
      <x:c r="A34" s="24" t="str">
        <x:v>Ja</x:v>
      </x:c>
      <x:c r="B34" s="20" t="str">
        <x:v>Parfüm des Mutes</x:v>
      </x:c>
      <x:c r="C34" s="20" t="str">
        <x:v>Parfüms</x:v>
      </x:c>
      <x:c r="D34" s="20" t="str">
        <x:v>Standard</x:v>
      </x:c>
      <x:c r="E34" s="29" t="n">
        <x:v>20</x:v>
      </x:c>
      <x:c r="F34" s="31" t="str">
        <x:v>Ja</x:v>
      </x:c>
      <x:c r="G34" s="26" t="str"/>
      <x:c r="H34" s="26" t="str"/>
      <x:c r="I34" s="20" t="str">
        <x:v>Perfume of Courage</x:v>
      </x:c>
      <x:c r="J34" s="35" t="str">
        <x:v>734</x:v>
      </x:c>
      <x:c r="K34" s="37" t="str">
        <x:v>perfume-of-courage</x:v>
      </x:c>
      <x:c r="L34" s="37" t="str">
        <x:v>Geprüft</x:v>
      </x:c>
      <x:c r="M34" s="37" t="str">
        <x:v>perfume-of-courage</x:v>
      </x:c>
      <x:c r="N34" s="20" t="str"/>
      <x:c r="O34" s="46" t="str">
        <x:v>https://bdocodex.com/us/item/734/</x:v>
      </x:c>
    </x:row>
    <x:row r="35" ht="44" customHeight="1">
      <x:c r="A35" s="24" t="str">
        <x:v>Ja</x:v>
      </x:c>
      <x:c r="B35" s="21" t="str">
        <x:v>Tiefsee-Parfüm</x:v>
      </x:c>
      <x:c r="C35" s="21" t="str">
        <x:v>Parfüms</x:v>
      </x:c>
      <x:c r="D35" s="21" t="str">
        <x:v>Standard</x:v>
      </x:c>
      <x:c r="E35" s="30" t="n">
        <x:v>20</x:v>
      </x:c>
      <x:c r="F35" s="32" t="str">
        <x:v>Ja</x:v>
      </x:c>
      <x:c r="G35" s="26" t="str"/>
      <x:c r="H35" s="26" t="str"/>
      <x:c r="I35" s="21" t="str">
        <x:v>Perfume of Deep Sea</x:v>
      </x:c>
      <x:c r="J35" s="36" t="str">
        <x:v>771</x:v>
      </x:c>
      <x:c r="K35" s="38" t="str">
        <x:v>perfume-of-deep-sea</x:v>
      </x:c>
      <x:c r="L35" s="38" t="str">
        <x:v>Geprüft</x:v>
      </x:c>
      <x:c r="M35" s="38" t="str">
        <x:v>perfume-of-deep-sea</x:v>
      </x:c>
      <x:c r="N35" s="21" t="str"/>
      <x:c r="O35" s="47" t="str">
        <x:v>https://bdocodex.com/us/item/771/</x:v>
      </x:c>
    </x:row>
    <x:row r="36" ht="44" customHeight="1">
      <x:c r="A36" s="24" t="str">
        <x:v>Ja</x:v>
      </x:c>
      <x:c r="B36" s="20" t="str">
        <x:v>Parfüm der Sehnsucht</x:v>
      </x:c>
      <x:c r="C36" s="20" t="str">
        <x:v>Parfüms</x:v>
      </x:c>
      <x:c r="D36" s="20" t="str">
        <x:v>Standard</x:v>
      </x:c>
      <x:c r="E36" s="29" t="n">
        <x:v>20</x:v>
      </x:c>
      <x:c r="F36" s="31" t="str">
        <x:v>Ja</x:v>
      </x:c>
      <x:c r="G36" s="26" t="str"/>
      <x:c r="H36" s="26" t="str"/>
      <x:c r="I36" s="20" t="str">
        <x:v>Perfume of Envy</x:v>
      </x:c>
      <x:c r="J36" s="35" t="str">
        <x:v>1411</x:v>
      </x:c>
      <x:c r="K36" s="37" t="str">
        <x:v>perfume-of-envy</x:v>
      </x:c>
      <x:c r="L36" s="37" t="str">
        <x:v>Geprüft</x:v>
      </x:c>
      <x:c r="M36" s="37" t="str">
        <x:v>perfume-of-envy</x:v>
      </x:c>
      <x:c r="N36" s="20" t="str"/>
      <x:c r="O36" s="46" t="str">
        <x:v>https://bdocodex.com/us/item/1411/</x:v>
      </x:c>
    </x:row>
    <x:row r="37" ht="44" customHeight="1">
      <x:c r="A37" s="24" t="str">
        <x:v>Ja</x:v>
      </x:c>
      <x:c r="B37" s="21" t="str">
        <x:v>Parfüm der Einsicht</x:v>
      </x:c>
      <x:c r="C37" s="21" t="str">
        <x:v>Parfüms</x:v>
      </x:c>
      <x:c r="D37" s="21" t="str">
        <x:v>Standard</x:v>
      </x:c>
      <x:c r="E37" s="30" t="n">
        <x:v>20</x:v>
      </x:c>
      <x:c r="F37" s="32" t="str">
        <x:v>Ja</x:v>
      </x:c>
      <x:c r="G37" s="26" t="str"/>
      <x:c r="H37" s="26" t="str"/>
      <x:c r="I37" s="21" t="str">
        <x:v>Perfume of Insight</x:v>
      </x:c>
      <x:c r="J37" s="36" t="str">
        <x:v>1200</x:v>
      </x:c>
      <x:c r="K37" s="38" t="str">
        <x:v>perfume-of-insight</x:v>
      </x:c>
      <x:c r="L37" s="38" t="str">
        <x:v>Geprüft</x:v>
      </x:c>
      <x:c r="M37" s="38" t="str">
        <x:v>perfume-of-insight</x:v>
      </x:c>
      <x:c r="N37" s="21" t="str"/>
      <x:c r="O37" s="47" t="str">
        <x:v>https://bdocodex.com/us/item/1200/</x:v>
      </x:c>
    </x:row>
    <x:row r="38" ht="44" customHeight="1">
      <x:c r="A38" s="24" t="str">
        <x:v>Ja</x:v>
      </x:c>
      <x:c r="B38" s="20" t="str">
        <x:v>Khalks Parfüm</x:v>
      </x:c>
      <x:c r="C38" s="20" t="str">
        <x:v>Parfüms</x:v>
      </x:c>
      <x:c r="D38" s="20" t="str">
        <x:v>Standard</x:v>
      </x:c>
      <x:c r="E38" s="29" t="n">
        <x:v>20</x:v>
      </x:c>
      <x:c r="F38" s="31" t="str">
        <x:v>Prüfen</x:v>
      </x:c>
      <x:c r="G38" s="26" t="str"/>
      <x:c r="H38" s="26" t="str"/>
      <x:c r="I38" s="20" t="str">
        <x:v>Perfume of Khalk</x:v>
      </x:c>
      <x:c r="J38" s="35" t="str">
        <x:v>748</x:v>
      </x:c>
      <x:c r="K38" s="37" t="str">
        <x:v>perfume-of-khalk</x:v>
      </x:c>
      <x:c r="L38" s="37" t="str">
        <x:v>Details prüfen</x:v>
      </x:c>
      <x:c r="M38" s="37" t="str">
        <x:v>perfume-of-khalk</x:v>
      </x:c>
      <x:c r="N38" s="20" t="str">
        <x:v>Marktzuordnung prüfen: Datenbank lädt Preisdaten dynamisch; hier kein eingebetteter Preisnachweis.</x:v>
      </x:c>
      <x:c r="O38" s="46" t="str">
        <x:v>https://bdocodex.com/us/item/748/</x:v>
      </x:c>
    </x:row>
    <x:row r="39" ht="44" customHeight="1">
      <x:c r="A39" s="24" t="str">
        <x:v>Ja</x:v>
      </x:c>
      <x:c r="B39" s="21" t="str">
        <x:v>Geisterparfüm</x:v>
      </x:c>
      <x:c r="C39" s="21" t="str">
        <x:v>Parfüms</x:v>
      </x:c>
      <x:c r="D39" s="21" t="str">
        <x:v>Standard</x:v>
      </x:c>
      <x:c r="E39" s="30" t="n">
        <x:v>20</x:v>
      </x:c>
      <x:c r="F39" s="32" t="str">
        <x:v>Ja</x:v>
      </x:c>
      <x:c r="G39" s="26" t="str"/>
      <x:c r="H39" s="26" t="str"/>
      <x:c r="I39" s="21" t="str">
        <x:v>Perfume of Spirits</x:v>
      </x:c>
      <x:c r="J39" s="36" t="str">
        <x:v>781</x:v>
      </x:c>
      <x:c r="K39" s="38" t="str">
        <x:v>perfume-of-spirits</x:v>
      </x:c>
      <x:c r="L39" s="38" t="str">
        <x:v>Geprüft</x:v>
      </x:c>
      <x:c r="M39" s="38" t="str">
        <x:v>perfume-of-spirits</x:v>
      </x:c>
      <x:c r="N39" s="21" t="str"/>
      <x:c r="O39" s="47" t="str">
        <x:v>https://bdocodex.com/us/item/781/</x:v>
      </x:c>
    </x:row>
    <x:row r="40" ht="44" customHeight="1">
      <x:c r="A40" s="24" t="str">
        <x:v>Ja</x:v>
      </x:c>
      <x:c r="B40" s="20" t="str">
        <x:v>Parfüm der Schnelligkeit</x:v>
      </x:c>
      <x:c r="C40" s="20" t="str">
        <x:v>Parfüms</x:v>
      </x:c>
      <x:c r="D40" s="20" t="str">
        <x:v>Standard</x:v>
      </x:c>
      <x:c r="E40" s="29" t="n">
        <x:v>20</x:v>
      </x:c>
      <x:c r="F40" s="31" t="str">
        <x:v>Ja</x:v>
      </x:c>
      <x:c r="G40" s="26" t="str"/>
      <x:c r="H40" s="26" t="str"/>
      <x:c r="I40" s="20" t="str">
        <x:v>Perfume of Swiftness</x:v>
      </x:c>
      <x:c r="J40" s="35" t="str">
        <x:v>735</x:v>
      </x:c>
      <x:c r="K40" s="37" t="str">
        <x:v>perfume-of-swiftness</x:v>
      </x:c>
      <x:c r="L40" s="37" t="str">
        <x:v>Geprüft</x:v>
      </x:c>
      <x:c r="M40" s="37" t="str">
        <x:v>perfume-of-swiftness</x:v>
      </x:c>
      <x:c r="N40" s="20" t="str"/>
      <x:c r="O40" s="46" t="str">
        <x:v>https://bdocodex.com/us/item/735/</x:v>
      </x:c>
    </x:row>
    <x:row r="41" ht="44" customHeight="1">
      <x:c r="A41" s="24" t="str">
        <x:v>Ja</x:v>
      </x:c>
      <x:c r="B41" s="21" t="str">
        <x:v>Parfüm der Beharrlichkeit</x:v>
      </x:c>
      <x:c r="C41" s="21" t="str">
        <x:v>Parfüms</x:v>
      </x:c>
      <x:c r="D41" s="21" t="str">
        <x:v>Standard</x:v>
      </x:c>
      <x:c r="E41" s="30" t="n">
        <x:v>20</x:v>
      </x:c>
      <x:c r="F41" s="32" t="str">
        <x:v>Prüfen</x:v>
      </x:c>
      <x:c r="G41" s="26" t="str"/>
      <x:c r="H41" s="26" t="str"/>
      <x:c r="I41" s="21" t="str">
        <x:v>Perfume of Tenacity</x:v>
      </x:c>
      <x:c r="J41" s="36" t="str">
        <x:v>1413</x:v>
      </x:c>
      <x:c r="K41" s="38" t="str">
        <x:v>perfume-of-tenacity</x:v>
      </x:c>
      <x:c r="L41" s="38" t="str">
        <x:v>Details prüfen</x:v>
      </x:c>
      <x:c r="M41" s="38" t="str">
        <x:v>perfume-of-tenacity</x:v>
      </x:c>
      <x:c r="N41" s="21" t="str">
        <x:v>Marktzuordnung prüfen: Datenbank lädt Preisdaten dynamisch; hier kein eingebetteter Preisnachweis.</x:v>
      </x:c>
      <x:c r="O41" s="47" t="str">
        <x:v>https://bdocodex.com/us/item/1413/</x:v>
      </x:c>
    </x:row>
    <x:row r="42" ht="44" customHeight="1">
      <x:c r="A42" s="24" t="str">
        <x:v>Ja</x:v>
      </x:c>
      <x:c r="B42" s="20" t="str">
        <x:v>Parfüm des Grüns</x:v>
      </x:c>
      <x:c r="C42" s="20" t="str">
        <x:v>Parfüms</x:v>
      </x:c>
      <x:c r="D42" s="20" t="str">
        <x:v>Standard</x:v>
      </x:c>
      <x:c r="E42" s="29" t="n">
        <x:v>20</x:v>
      </x:c>
      <x:c r="F42" s="31" t="str">
        <x:v>Ja</x:v>
      </x:c>
      <x:c r="G42" s="26" t="str"/>
      <x:c r="H42" s="26" t="str"/>
      <x:c r="I42" s="20" t="str">
        <x:v>Perfume of Verdure</x:v>
      </x:c>
      <x:c r="J42" s="35" t="str">
        <x:v>890</x:v>
      </x:c>
      <x:c r="K42" s="37" t="str">
        <x:v>perfume-of-verdure</x:v>
      </x:c>
      <x:c r="L42" s="37" t="str">
        <x:v>Geprüft</x:v>
      </x:c>
      <x:c r="M42" s="37" t="str">
        <x:v>perfume-of-verdure</x:v>
      </x:c>
      <x:c r="N42" s="20" t="str"/>
      <x:c r="O42" s="46" t="str">
        <x:v>https://bdocodex.com/us/item/890/</x:v>
      </x:c>
    </x:row>
    <x:row r="43" ht="44" customHeight="1">
      <x:c r="A43" s="24" t="str">
        <x:v>Ja</x:v>
      </x:c>
      <x:c r="B43" s="21" t="str">
        <x:v>[Camp] Adventurer's Confidence</x:v>
      </x:c>
      <x:c r="C43" s="21" t="str">
        <x:v>Kostenpflichtige Zeltbuffs</x:v>
      </x:c>
      <x:c r="D43" s="21" t="str">
        <x:v>Direktbuff</x:v>
      </x:c>
      <x:c r="E43" s="30" t="n">
        <x:v>60</x:v>
      </x:c>
      <x:c r="F43" s="32" t="str">
        <x:v>Nein</x:v>
      </x:c>
      <x:c r="G43" s="26" t="str"/>
      <x:c r="H43" s="26" t="str"/>
      <x:c r="I43" s="21" t="str">
        <x:v>[Camp] Adventurer's Confidence</x:v>
      </x:c>
      <x:c r="J43" s="36" t="str">
        <x:v>43929</x:v>
      </x:c>
      <x:c r="K43" s="38" t="str">
        <x:v>tent_adventurers_confidence</x:v>
      </x:c>
      <x:c r="L43" s="38" t="str">
        <x:v>Geprüft</x:v>
      </x:c>
      <x:c r="M43" s="38" t="str">
        <x:v>tent_adventurers_confidence</x:v>
      </x:c>
      <x:c r="N43" s="21" t="str">
        <x:v>Fester Kaufpreis: 600.000 Silber. Monster-AK +10; Fertigkeits-EP +10%; Wüstenkrankheitsresistenz +40%.</x:v>
      </x:c>
      <x:c r="O43" s="47" t="str">
        <x:v>https://bdocodex.com/us/item/43929/</x:v>
      </x:c>
    </x:row>
    <x:row r="44" ht="44" customHeight="1">
      <x:c r="A44" s="24" t="str">
        <x:v>Ja</x:v>
      </x:c>
      <x:c r="B44" s="20" t="str">
        <x:v>Adventure's Boon</x:v>
      </x:c>
      <x:c r="C44" s="20" t="str">
        <x:v>Kostenpflichtige Zeltbuffs</x:v>
      </x:c>
      <x:c r="D44" s="20" t="str">
        <x:v>Schriftrolle / 60 Min.</x:v>
      </x:c>
      <x:c r="E44" s="29" t="n">
        <x:v>60</x:v>
      </x:c>
      <x:c r="F44" s="31" t="str">
        <x:v>Nein</x:v>
      </x:c>
      <x:c r="G44" s="26" t="str"/>
      <x:c r="H44" s="26" t="str"/>
      <x:c r="I44" s="20" t="str">
        <x:v>Adventure's Boon</x:v>
      </x:c>
      <x:c r="J44" s="35"/>
      <x:c r="K44" s="37" t="str">
        <x:v>adventures_boon</x:v>
      </x:c>
      <x:c r="L44" s="37" t="str">
        <x:v>Geprüft</x:v>
      </x:c>
      <x:c r="M44" s="37" t="str">
        <x:v>tent_adventures_boon_60</x:v>
      </x:c>
      <x:c r="N44" s="20" t="str">
        <x:v>Fester Kaufpreis: 1.750.000 Silber. Zusammengeführter Angriffs-, Verteidigungs- und EP-Segen. Preis gilt für den Zeltkauf.</x:v>
      </x:c>
      <x:c r="O44" s="46" t="str">
        <x:v>https://www.naeu.playblackdesert.com/en-US/Wiki?wikiNo=120</x:v>
      </x:c>
    </x:row>
    <x:row r="45" ht="44" customHeight="1">
      <x:c r="A45" s="24" t="str">
        <x:v>Ja</x:v>
      </x:c>
      <x:c r="B45" s="21" t="str">
        <x:v>Adventure's Boon</x:v>
      </x:c>
      <x:c r="C45" s="21" t="str">
        <x:v>Kostenpflichtige Zeltbuffs</x:v>
      </x:c>
      <x:c r="D45" s="21" t="str">
        <x:v>Direktbuff / 120 Min.</x:v>
      </x:c>
      <x:c r="E45" s="30" t="n">
        <x:v>120</x:v>
      </x:c>
      <x:c r="F45" s="32" t="str">
        <x:v>Nein</x:v>
      </x:c>
      <x:c r="G45" s="26" t="str"/>
      <x:c r="H45" s="26" t="str"/>
      <x:c r="I45" s="21" t="str">
        <x:v>Adventure's Boon</x:v>
      </x:c>
      <x:c r="J45" s="36" t="str">
        <x:v>761880</x:v>
      </x:c>
      <x:c r="K45" s="38" t="str">
        <x:v>adventures_boon</x:v>
      </x:c>
      <x:c r="L45" s="38" t="str">
        <x:v>Geprüft</x:v>
      </x:c>
      <x:c r="M45" s="38" t="str">
        <x:v>tent_adventures_boon_120</x:v>
      </x:c>
      <x:c r="N45" s="21" t="str">
        <x:v>Fester Kaufpreis: 3.500.000 Silber. Zusammengeführter Angriffs-, Verteidigungs- und EP-Segen. Preis gilt für den Zeltkauf.</x:v>
      </x:c>
      <x:c r="O45" s="47" t="str">
        <x:v>https://www.tw.playblackdesert.com/zh-TW/Wiki?wikiNo=763</x:v>
      </x:c>
    </x:row>
    <x:row r="46" ht="44" customHeight="1">
      <x:c r="A46" s="24" t="str">
        <x:v>Ja</x:v>
      </x:c>
      <x:c r="B46" s="20" t="str">
        <x:v>Adventure's Boon</x:v>
      </x:c>
      <x:c r="C46" s="20" t="str">
        <x:v>Kostenpflichtige Zeltbuffs</x:v>
      </x:c>
      <x:c r="D46" s="20" t="str">
        <x:v>Direktbuff / 300 Min.</x:v>
      </x:c>
      <x:c r="E46" s="29" t="n">
        <x:v>300</x:v>
      </x:c>
      <x:c r="F46" s="31" t="str">
        <x:v>Nein</x:v>
      </x:c>
      <x:c r="G46" s="26" t="str"/>
      <x:c r="H46" s="26" t="str"/>
      <x:c r="I46" s="20" t="str">
        <x:v>Adventure's Boon</x:v>
      </x:c>
      <x:c r="J46" s="35"/>
      <x:c r="K46" s="37" t="str">
        <x:v>adventures_boon</x:v>
      </x:c>
      <x:c r="L46" s="37" t="str">
        <x:v>Geprüft</x:v>
      </x:c>
      <x:c r="M46" s="37" t="str">
        <x:v>tent_adventures_boon_300</x:v>
      </x:c>
      <x:c r="N46" s="20" t="str">
        <x:v>Fester Kaufpreis: 12.000.000 Silber. Zusammengeführter Angriffs-, Verteidigungs- und EP-Segen. Preis gilt für den Zeltkauf.</x:v>
      </x:c>
      <x:c r="O46" s="46" t="str">
        <x:v>https://www.tw.playblackdesert.com/zh-TW/Wiki?wikiNo=763</x:v>
      </x:c>
    </x:row>
    <x:row r="47" ht="44" customHeight="1">
      <x:c r="A47" s="24" t="str">
        <x:v>Ja</x:v>
      </x:c>
      <x:c r="B47" s="21" t="str">
        <x:v>Adventurer's Luck I</x:v>
      </x:c>
      <x:c r="C47" s="21" t="str">
        <x:v>Kostenpflichtige Zeltbuffs</x:v>
      </x:c>
      <x:c r="D47" s="21" t="str">
        <x:v>Beuterate +10%</x:v>
      </x:c>
      <x:c r="E47" s="30" t="n">
        <x:v>60</x:v>
      </x:c>
      <x:c r="F47" s="32" t="str">
        <x:v>Nein</x:v>
      </x:c>
      <x:c r="G47" s="26" t="str"/>
      <x:c r="H47" s="26" t="str"/>
      <x:c r="I47" s="21" t="str">
        <x:v>Adventurer's Luck I</x:v>
      </x:c>
      <x:c r="J47" s="36"/>
      <x:c r="K47" s="38" t="str">
        <x:v>adventurers_luck_i</x:v>
      </x:c>
      <x:c r="L47" s="38" t="str">
        <x:v>Geprüft</x:v>
      </x:c>
      <x:c r="M47" s="38" t="str">
        <x:v>tent_adventurers_luck_i</x:v>
      </x:c>
      <x:c r="N47" s="21" t="str">
        <x:v>Fester Kaufpreis: 10.000.000 Silber. Direktbuff bzw. Schriftrolle; keine doppelte Kostenbuchung für beide Bezugsformen.</x:v>
      </x:c>
      <x:c r="O47" s="47" t="str">
        <x:v>https://www.naeu.playblackdesert.com/en-US/Wiki?wikiNo=120</x:v>
      </x:c>
    </x:row>
    <x:row r="48" ht="44" customHeight="1">
      <x:c r="A48" s="24" t="str">
        <x:v>Ja</x:v>
      </x:c>
      <x:c r="B48" s="20" t="str">
        <x:v>Adventurer's Luck II</x:v>
      </x:c>
      <x:c r="C48" s="20" t="str">
        <x:v>Kostenpflichtige Zeltbuffs</x:v>
      </x:c>
      <x:c r="D48" s="20" t="str">
        <x:v>Beuterate +20%</x:v>
      </x:c>
      <x:c r="E48" s="29" t="n">
        <x:v>60</x:v>
      </x:c>
      <x:c r="F48" s="31" t="str">
        <x:v>Nein</x:v>
      </x:c>
      <x:c r="G48" s="26" t="str"/>
      <x:c r="H48" s="26" t="str"/>
      <x:c r="I48" s="20" t="str">
        <x:v>Adventurer's Luck II</x:v>
      </x:c>
      <x:c r="J48" s="35"/>
      <x:c r="K48" s="37" t="str">
        <x:v>adventurers_luck_ii</x:v>
      </x:c>
      <x:c r="L48" s="37" t="str">
        <x:v>Geprüft</x:v>
      </x:c>
      <x:c r="M48" s="37" t="str">
        <x:v>tent_adventurers_luck_ii</x:v>
      </x:c>
      <x:c r="N48" s="20" t="str">
        <x:v>Fester Kaufpreis: 20.000.000 Silber. Direktbuff bzw. Schriftrolle; keine doppelte Kostenbuchung für beide Bezugsformen.</x:v>
      </x:c>
      <x:c r="O48" s="46" t="str">
        <x:v>https://www.naeu.playblackdesert.com/en-US/Wiki?wikiNo=120</x:v>
      </x:c>
    </x:row>
    <x:row r="49" ht="44" customHeight="1">
      <x:c r="A49" s="24" t="str">
        <x:v>Ja</x:v>
      </x:c>
      <x:c r="B49" s="21" t="str">
        <x:v>Adventurer's Luck III</x:v>
      </x:c>
      <x:c r="C49" s="21" t="str">
        <x:v>Kostenpflichtige Zeltbuffs</x:v>
      </x:c>
      <x:c r="D49" s="21" t="str">
        <x:v>Beuterate +30%</x:v>
      </x:c>
      <x:c r="E49" s="30" t="n">
        <x:v>60</x:v>
      </x:c>
      <x:c r="F49" s="32" t="str">
        <x:v>Nein</x:v>
      </x:c>
      <x:c r="G49" s="26" t="str"/>
      <x:c r="H49" s="26" t="str"/>
      <x:c r="I49" s="21" t="str">
        <x:v>Adventurer's Luck III</x:v>
      </x:c>
      <x:c r="J49" s="36"/>
      <x:c r="K49" s="38" t="str">
        <x:v>adventurers_luck_iii</x:v>
      </x:c>
      <x:c r="L49" s="38" t="str">
        <x:v>Geprüft</x:v>
      </x:c>
      <x:c r="M49" s="38" t="str">
        <x:v>tent_adventurers_luck_iii</x:v>
      </x:c>
      <x:c r="N49" s="21" t="str">
        <x:v>Fester Kaufpreis: 30.000.000 Silber. Direktbuff bzw. Schriftrolle; keine doppelte Kostenbuchung für beide Bezugsformen.</x:v>
      </x:c>
      <x:c r="O49" s="47" t="str">
        <x:v>https://www.naeu.playblackdesert.com/en-US/Wiki?wikiNo=120</x:v>
      </x:c>
    </x:row>
    <x:row r="50" ht="44" customHeight="1">
      <x:c r="A50" s="24" t="str">
        <x:v>Ja</x:v>
      </x:c>
      <x:c r="B50" s="20" t="str">
        <x:v>Adventurer's Luck IV</x:v>
      </x:c>
      <x:c r="C50" s="20" t="str">
        <x:v>Kostenpflichtige Zeltbuffs</x:v>
      </x:c>
      <x:c r="D50" s="20" t="str">
        <x:v>Beuterate +40%</x:v>
      </x:c>
      <x:c r="E50" s="29" t="n">
        <x:v>60</x:v>
      </x:c>
      <x:c r="F50" s="31" t="str">
        <x:v>Nein</x:v>
      </x:c>
      <x:c r="G50" s="26" t="str"/>
      <x:c r="H50" s="26" t="str"/>
      <x:c r="I50" s="20" t="str">
        <x:v>Adventurer's Luck IV</x:v>
      </x:c>
      <x:c r="J50" s="35"/>
      <x:c r="K50" s="37" t="str">
        <x:v>adventurers_luck_iv</x:v>
      </x:c>
      <x:c r="L50" s="37" t="str">
        <x:v>Geprüft</x:v>
      </x:c>
      <x:c r="M50" s="37" t="str">
        <x:v>tent_adventurers_luck_iv</x:v>
      </x:c>
      <x:c r="N50" s="20" t="str">
        <x:v>Fester Kaufpreis: 40.000.000 Silber. Direktbuff bzw. Schriftrolle; keine doppelte Kostenbuchung für beide Bezugsformen.</x:v>
      </x:c>
      <x:c r="O50" s="46" t="str">
        <x:v>https://www.naeu.playblackdesert.com/en-US/Wiki?wikiNo=120</x:v>
      </x:c>
    </x:row>
    <x:row r="51" ht="44" customHeight="1">
      <x:c r="A51" s="24" t="str">
        <x:v>Ja</x:v>
      </x:c>
      <x:c r="B51" s="21" t="str">
        <x:v>Adventurer's Luck V</x:v>
      </x:c>
      <x:c r="C51" s="21" t="str">
        <x:v>Kostenpflichtige Zeltbuffs</x:v>
      </x:c>
      <x:c r="D51" s="21" t="str">
        <x:v>Beuterate +50%</x:v>
      </x:c>
      <x:c r="E51" s="30" t="n">
        <x:v>60</x:v>
      </x:c>
      <x:c r="F51" s="32" t="str">
        <x:v>Nein</x:v>
      </x:c>
      <x:c r="G51" s="26" t="str"/>
      <x:c r="H51" s="26" t="str"/>
      <x:c r="I51" s="21" t="str">
        <x:v>Adventurer's Luck V</x:v>
      </x:c>
      <x:c r="J51" s="36"/>
      <x:c r="K51" s="38" t="str">
        <x:v>adventurers_luck_v</x:v>
      </x:c>
      <x:c r="L51" s="38" t="str">
        <x:v>Geprüft</x:v>
      </x:c>
      <x:c r="M51" s="38" t="str">
        <x:v>tent_adventurers_luck_v</x:v>
      </x:c>
      <x:c r="N51" s="21" t="str">
        <x:v>Fester Kaufpreis: 50.000.000 Silber. Direktbuff bzw. Schriftrolle; keine doppelte Kostenbuchung für beide Bezugsformen.</x:v>
      </x:c>
      <x:c r="O51" s="47" t="str">
        <x:v>https://www.naeu.playblackdesert.com/en-US/Wiki?wikiNo=120</x:v>
      </x:c>
    </x:row>
    <x:row r="52" ht="44" customHeight="1">
      <x:c r="A52" s="24" t="str">
        <x:v>Ja</x:v>
      </x:c>
      <x:c r="B52" s="20" t="str">
        <x:v>Body Enhancement</x:v>
      </x:c>
      <x:c r="C52" s="20" t="str">
        <x:v>Kostenpflichtige Zeltbuffs</x:v>
      </x:c>
      <x:c r="D52" s="20" t="str">
        <x:v>60 Min.</x:v>
      </x:c>
      <x:c r="E52" s="29" t="n">
        <x:v>60</x:v>
      </x:c>
      <x:c r="F52" s="31" t="str">
        <x:v>Nein</x:v>
      </x:c>
      <x:c r="G52" s="26" t="str"/>
      <x:c r="H52" s="26" t="str"/>
      <x:c r="I52" s="20" t="str">
        <x:v>Body Enhancement</x:v>
      </x:c>
      <x:c r="J52" s="35"/>
      <x:c r="K52" s="37" t="str">
        <x:v>body_enhancement</x:v>
      </x:c>
      <x:c r="L52" s="37" t="str">
        <x:v>Geprüft</x:v>
      </x:c>
      <x:c r="M52" s="37" t="str">
        <x:v>tent_body_enhancement_60</x:v>
      </x:c>
      <x:c r="N52" s="20" t="str">
        <x:v>Fester Kaufpreis: 1.000.000 Silber. Auch als Schriftrolle im Zeltshop; dafür Geheimes Buch des Altmonds erforderlich. Enthält inzwischen auch den früheren Buff Skill &amp; Experience.</x:v>
      </x:c>
      <x:c r="O52" s="46" t="str">
        <x:v>https://blackdesert.pearlabyss.com/TR/en-US/Game/Wiki?_masterWikiNo=74</x:v>
      </x:c>
    </x:row>
    <x:row r="53" ht="44" customHeight="1">
      <x:c r="A53" s="24" t="str">
        <x:v>Ja</x:v>
      </x:c>
      <x:c r="B53" s="21" t="str">
        <x:v>Body Enhancement</x:v>
      </x:c>
      <x:c r="C53" s="21" t="str">
        <x:v>Kostenpflichtige Zeltbuffs</x:v>
      </x:c>
      <x:c r="D53" s="21" t="str">
        <x:v>90 Min.</x:v>
      </x:c>
      <x:c r="E53" s="30" t="n">
        <x:v>90</x:v>
      </x:c>
      <x:c r="F53" s="32" t="str">
        <x:v>Nein</x:v>
      </x:c>
      <x:c r="G53" s="26" t="str"/>
      <x:c r="H53" s="26" t="str"/>
      <x:c r="I53" s="21" t="str">
        <x:v>Body Enhancement</x:v>
      </x:c>
      <x:c r="J53" s="36"/>
      <x:c r="K53" s="38" t="str">
        <x:v>body_enhancement</x:v>
      </x:c>
      <x:c r="L53" s="38" t="str">
        <x:v>Geprüft</x:v>
      </x:c>
      <x:c r="M53" s="38" t="str">
        <x:v>tent_body_enhancement_90</x:v>
      </x:c>
      <x:c r="N53" s="21" t="str">
        <x:v>Fester Kaufpreis: 1.500.000 Silber. Direktkauf über Villafunktion. Enthält inzwischen auch den früheren Buff Skill &amp; Experience.</x:v>
      </x:c>
      <x:c r="O53" s="47" t="str">
        <x:v>https://blackdesert.pearlabyss.com/TR/en-US/Game/Wiki?_masterWikiNo=74</x:v>
      </x:c>
    </x:row>
    <x:row r="54" ht="44" customHeight="1">
      <x:c r="A54" s="24" t="str">
        <x:v>Ja</x:v>
      </x:c>
      <x:c r="B54" s="20" t="str">
        <x:v>Body Enhancement</x:v>
      </x:c>
      <x:c r="C54" s="20" t="str">
        <x:v>Kostenpflichtige Zeltbuffs</x:v>
      </x:c>
      <x:c r="D54" s="20" t="str">
        <x:v>120 Min.</x:v>
      </x:c>
      <x:c r="E54" s="29" t="n">
        <x:v>120</x:v>
      </x:c>
      <x:c r="F54" s="31" t="str">
        <x:v>Nein</x:v>
      </x:c>
      <x:c r="G54" s="26" t="str"/>
      <x:c r="H54" s="26" t="str"/>
      <x:c r="I54" s="20" t="str">
        <x:v>Body Enhancement</x:v>
      </x:c>
      <x:c r="J54" s="35"/>
      <x:c r="K54" s="37" t="str">
        <x:v>body_enhancement</x:v>
      </x:c>
      <x:c r="L54" s="37" t="str">
        <x:v>Geprüft</x:v>
      </x:c>
      <x:c r="M54" s="37" t="str">
        <x:v>tent_body_enhancement_120</x:v>
      </x:c>
      <x:c r="N54" s="20" t="str">
        <x:v>Fester Kaufpreis: 2.250.000 Silber. Direktkauf über Villafunktion. Enthält inzwischen auch den früheren Buff Skill &amp; Experience.</x:v>
      </x:c>
      <x:c r="O54" s="46" t="str">
        <x:v>https://blackdesert.pearlabyss.com/TR/en-US/Game/Wiki?_masterWikiNo=74</x:v>
      </x:c>
    </x:row>
    <x:row r="55" ht="44" customHeight="1">
      <x:c r="A55" s="24" t="str">
        <x:v>Ja</x:v>
      </x:c>
      <x:c r="B55" s="21" t="str">
        <x:v>Body Enhancement</x:v>
      </x:c>
      <x:c r="C55" s="21" t="str">
        <x:v>Kostenpflichtige Zeltbuffs</x:v>
      </x:c>
      <x:c r="D55" s="21" t="str">
        <x:v>180 Min.</x:v>
      </x:c>
      <x:c r="E55" s="30" t="n">
        <x:v>180</x:v>
      </x:c>
      <x:c r="F55" s="32" t="str">
        <x:v>Nein</x:v>
      </x:c>
      <x:c r="G55" s="26" t="str"/>
      <x:c r="H55" s="26" t="str"/>
      <x:c r="I55" s="21" t="str">
        <x:v>Body Enhancement</x:v>
      </x:c>
      <x:c r="J55" s="36"/>
      <x:c r="K55" s="38" t="str">
        <x:v>body_enhancement</x:v>
      </x:c>
      <x:c r="L55" s="38" t="str">
        <x:v>Geprüft</x:v>
      </x:c>
      <x:c r="M55" s="38" t="str">
        <x:v>tent_body_enhancement_180</x:v>
      </x:c>
      <x:c r="N55" s="21" t="str">
        <x:v>Fester Kaufpreis: 4.500.000 Silber. Direktkauf über Villafunktion. Enthält inzwischen auch den früheren Buff Skill &amp; Experience.</x:v>
      </x:c>
      <x:c r="O55" s="47" t="str">
        <x:v>https://blackdesert.pearlabyss.com/TR/en-US/Game/Wiki?_masterWikiNo=74</x:v>
      </x:c>
    </x:row>
    <x:row r="56" ht="44" customHeight="1">
      <x:c r="A56" s="24" t="str">
        <x:v>Ja</x:v>
      </x:c>
      <x:c r="B56" s="20" t="str">
        <x:v>Body Enhancement</x:v>
      </x:c>
      <x:c r="C56" s="20" t="str">
        <x:v>Kostenpflichtige Zeltbuffs</x:v>
      </x:c>
      <x:c r="D56" s="20" t="str">
        <x:v>300 Min.</x:v>
      </x:c>
      <x:c r="E56" s="29" t="n">
        <x:v>300</x:v>
      </x:c>
      <x:c r="F56" s="31" t="str">
        <x:v>Nein</x:v>
      </x:c>
      <x:c r="G56" s="26" t="str"/>
      <x:c r="H56" s="26" t="str"/>
      <x:c r="I56" s="20" t="str">
        <x:v>Body Enhancement</x:v>
      </x:c>
      <x:c r="J56" s="35"/>
      <x:c r="K56" s="37" t="str">
        <x:v>body_enhancement</x:v>
      </x:c>
      <x:c r="L56" s="37" t="str">
        <x:v>Geprüft</x:v>
      </x:c>
      <x:c r="M56" s="37" t="str">
        <x:v>tent_body_enhancement_300</x:v>
      </x:c>
      <x:c r="N56" s="20" t="str">
        <x:v>Fester Kaufpreis: 10.000.000 Silber. Direktkauf über Villafunktion. Enthält inzwischen auch den früheren Buff Skill &amp; Experience.</x:v>
      </x:c>
      <x:c r="O56" s="46" t="str">
        <x:v>https://blackdesert.pearlabyss.com/TR/en-US/Game/Wiki?_masterWikiNo=74</x:v>
      </x:c>
    </x:row>
    <x:row r="57" ht="44" customHeight="1">
      <x:c r="A57" s="24" t="str">
        <x:v>Ja</x:v>
      </x:c>
      <x:c r="B57" s="21" t="str">
        <x:v>Turning Gates</x:v>
      </x:c>
      <x:c r="C57" s="21" t="str">
        <x:v>Kostenpflichtige Zeltbuffs</x:v>
      </x:c>
      <x:c r="D57" s="21" t="str">
        <x:v>60 Min.</x:v>
      </x:c>
      <x:c r="E57" s="30" t="n">
        <x:v>60</x:v>
      </x:c>
      <x:c r="F57" s="32" t="str">
        <x:v>Nein</x:v>
      </x:c>
      <x:c r="G57" s="26" t="str"/>
      <x:c r="H57" s="26" t="str"/>
      <x:c r="I57" s="21" t="str">
        <x:v>Turning Gates</x:v>
      </x:c>
      <x:c r="J57" s="36"/>
      <x:c r="K57" s="38" t="str">
        <x:v>turning_gates</x:v>
      </x:c>
      <x:c r="L57" s="38" t="str">
        <x:v>Geprüft</x:v>
      </x:c>
      <x:c r="M57" s="38" t="str">
        <x:v>tent_turning_gates_60</x:v>
      </x:c>
      <x:c r="N57" s="21" t="str">
        <x:v>Fester Kaufpreis: 200.000 Silber. Auch als Schriftrolle im Zeltshop; dafür Geheimes Buch des Altmonds erforderlich.</x:v>
      </x:c>
      <x:c r="O57" s="47" t="str">
        <x:v>https://blackdesert.pearlabyss.com/TR/en-US/Game/Wiki?_masterWikiNo=74</x:v>
      </x:c>
    </x:row>
    <x:row r="58" ht="44" customHeight="1">
      <x:c r="A58" s="24" t="str">
        <x:v>Ja</x:v>
      </x:c>
      <x:c r="B58" s="20" t="str">
        <x:v>Turning Gates</x:v>
      </x:c>
      <x:c r="C58" s="20" t="str">
        <x:v>Kostenpflichtige Zeltbuffs</x:v>
      </x:c>
      <x:c r="D58" s="20" t="str">
        <x:v>90 Min.</x:v>
      </x:c>
      <x:c r="E58" s="29" t="n">
        <x:v>90</x:v>
      </x:c>
      <x:c r="F58" s="31" t="str">
        <x:v>Nein</x:v>
      </x:c>
      <x:c r="G58" s="26" t="str"/>
      <x:c r="H58" s="26" t="str"/>
      <x:c r="I58" s="20" t="str">
        <x:v>Turning Gates</x:v>
      </x:c>
      <x:c r="J58" s="35"/>
      <x:c r="K58" s="37" t="str">
        <x:v>turning_gates</x:v>
      </x:c>
      <x:c r="L58" s="37" t="str">
        <x:v>Geprüft</x:v>
      </x:c>
      <x:c r="M58" s="37" t="str">
        <x:v>tent_turning_gates_90</x:v>
      </x:c>
      <x:c r="N58" s="20" t="str">
        <x:v>Fester Kaufpreis: 300.000 Silber. Direktkauf über Villafunktion.</x:v>
      </x:c>
      <x:c r="O58" s="46" t="str">
        <x:v>https://blackdesert.pearlabyss.com/TR/en-US/Game/Wiki?_masterWikiNo=74</x:v>
      </x:c>
    </x:row>
    <x:row r="59" ht="44" customHeight="1">
      <x:c r="A59" s="24" t="str">
        <x:v>Ja</x:v>
      </x:c>
      <x:c r="B59" s="21" t="str">
        <x:v>Turning Gates</x:v>
      </x:c>
      <x:c r="C59" s="21" t="str">
        <x:v>Kostenpflichtige Zeltbuffs</x:v>
      </x:c>
      <x:c r="D59" s="21" t="str">
        <x:v>120 Min.</x:v>
      </x:c>
      <x:c r="E59" s="30" t="n">
        <x:v>120</x:v>
      </x:c>
      <x:c r="F59" s="32" t="str">
        <x:v>Nein</x:v>
      </x:c>
      <x:c r="G59" s="26" t="str"/>
      <x:c r="H59" s="26" t="str"/>
      <x:c r="I59" s="21" t="str">
        <x:v>Turning Gates</x:v>
      </x:c>
      <x:c r="J59" s="36"/>
      <x:c r="K59" s="38" t="str">
        <x:v>turning_gates</x:v>
      </x:c>
      <x:c r="L59" s="38" t="str">
        <x:v>Geprüft</x:v>
      </x:c>
      <x:c r="M59" s="38" t="str">
        <x:v>tent_turning_gates_120</x:v>
      </x:c>
      <x:c r="N59" s="21" t="str">
        <x:v>Fester Kaufpreis: 450.000 Silber. Direktkauf über Villafunktion.</x:v>
      </x:c>
      <x:c r="O59" s="47" t="str">
        <x:v>https://blackdesert.pearlabyss.com/TR/en-US/Game/Wiki?_masterWikiNo=74</x:v>
      </x:c>
    </x:row>
    <x:row r="60" ht="44" customHeight="1">
      <x:c r="A60" s="24" t="str">
        <x:v>Ja</x:v>
      </x:c>
      <x:c r="B60" s="20" t="str">
        <x:v>Turning Gates</x:v>
      </x:c>
      <x:c r="C60" s="20" t="str">
        <x:v>Kostenpflichtige Zeltbuffs</x:v>
      </x:c>
      <x:c r="D60" s="20" t="str">
        <x:v>180 Min.</x:v>
      </x:c>
      <x:c r="E60" s="29" t="n">
        <x:v>180</x:v>
      </x:c>
      <x:c r="F60" s="31" t="str">
        <x:v>Nein</x:v>
      </x:c>
      <x:c r="G60" s="26" t="str"/>
      <x:c r="H60" s="26" t="str"/>
      <x:c r="I60" s="20" t="str">
        <x:v>Turning Gates</x:v>
      </x:c>
      <x:c r="J60" s="35"/>
      <x:c r="K60" s="37" t="str">
        <x:v>turning_gates</x:v>
      </x:c>
      <x:c r="L60" s="37" t="str">
        <x:v>Geprüft</x:v>
      </x:c>
      <x:c r="M60" s="37" t="str">
        <x:v>tent_turning_gates_180</x:v>
      </x:c>
      <x:c r="N60" s="20" t="str">
        <x:v>Fester Kaufpreis: 900.000 Silber. Direktkauf über Villafunktion.</x:v>
      </x:c>
      <x:c r="O60" s="46" t="str">
        <x:v>https://blackdesert.pearlabyss.com/TR/en-US/Game/Wiki?_masterWikiNo=74</x:v>
      </x:c>
    </x:row>
    <x:row r="61" ht="44" customHeight="1">
      <x:c r="A61" s="24" t="str">
        <x:v>Ja</x:v>
      </x:c>
      <x:c r="B61" s="21" t="str">
        <x:v>Turning Gates</x:v>
      </x:c>
      <x:c r="C61" s="21" t="str">
        <x:v>Kostenpflichtige Zeltbuffs</x:v>
      </x:c>
      <x:c r="D61" s="21" t="str">
        <x:v>300 Min.</x:v>
      </x:c>
      <x:c r="E61" s="30" t="n">
        <x:v>300</x:v>
      </x:c>
      <x:c r="F61" s="32" t="str">
        <x:v>Nein</x:v>
      </x:c>
      <x:c r="G61" s="26" t="str"/>
      <x:c r="H61" s="26" t="str"/>
      <x:c r="I61" s="21" t="str">
        <x:v>Turning Gates</x:v>
      </x:c>
      <x:c r="J61" s="36"/>
      <x:c r="K61" s="38" t="str">
        <x:v>turning_gates</x:v>
      </x:c>
      <x:c r="L61" s="38" t="str">
        <x:v>Geprüft</x:v>
      </x:c>
      <x:c r="M61" s="38" t="str">
        <x:v>tent_turning_gates_300</x:v>
      </x:c>
      <x:c r="N61" s="21" t="str">
        <x:v>Fester Kaufpreis: 2.000.000 Silber. Direktkauf über Villafunktion.</x:v>
      </x:c>
      <x:c r="O61" s="47" t="str">
        <x:v>https://blackdesert.pearlabyss.com/TR/en-US/Game/Wiki?_masterWikiNo=74</x:v>
      </x:c>
    </x:row>
    <x:row r="62" ht="44" customHeight="1">
      <x:c r="A62" s="24" t="str">
        <x:v>Ja</x:v>
      </x:c>
      <x:c r="B62" s="20" t="str">
        <x:v>Segen der mystischen Bestie – Präzision</x:v>
      </x:c>
      <x:c r="C62" s="20" t="str">
        <x:v>Mystic-Beasts-Schriftrollen</x:v>
      </x:c>
      <x:c r="D62" s="20" t="str">
        <x:v>Standard</x:v>
      </x:c>
      <x:c r="E62" s="29" t="n">
        <x:v>60</x:v>
      </x:c>
      <x:c r="F62" s="31" t="str">
        <x:v>Ja</x:v>
      </x:c>
      <x:c r="G62" s="26" t="str"/>
      <x:c r="H62" s="26" t="str"/>
      <x:c r="I62" s="20" t="str">
        <x:v>Blessing of Mystic Beasts - Accuracy</x:v>
      </x:c>
      <x:c r="J62" s="35" t="str">
        <x:v>767970</x:v>
      </x:c>
      <x:c r="K62" s="37" t="str">
        <x:v>mystic_beasts_767970</x:v>
      </x:c>
      <x:c r="L62" s="37" t="str">
        <x:v>Geprüft</x:v>
      </x:c>
      <x:c r="M62" s="37" t="str">
        <x:v>mystic_beasts_767970</x:v>
      </x:c>
      <x:c r="N62" s="20" t="str">
        <x:v>Gesamte Präzision +20. Verbrauch: 1 Schriftrolle. Nicht mit anderen Mystic-Beasts- oder Wohnmöbelbuffs stapelbar; nur der zuletzt aktivierte Effekt zählt.</x:v>
      </x:c>
      <x:c r="O62" s="46" t="str">
        <x:v>https://bdocodex.com/de/item/767970/</x:v>
      </x:c>
    </x:row>
    <x:row r="63" ht="44" customHeight="1">
      <x:c r="A63" s="24" t="str">
        <x:v>Ja</x:v>
      </x:c>
      <x:c r="B63" s="21" t="str">
        <x:v>Segen der mystischen Bestie – Gesamte AK</x:v>
      </x:c>
      <x:c r="C63" s="21" t="str">
        <x:v>Mystic-Beasts-Schriftrollen</x:v>
      </x:c>
      <x:c r="D63" s="21" t="str">
        <x:v>Standard</x:v>
      </x:c>
      <x:c r="E63" s="30" t="n">
        <x:v>60</x:v>
      </x:c>
      <x:c r="F63" s="32" t="str">
        <x:v>Ja</x:v>
      </x:c>
      <x:c r="G63" s="26" t="str"/>
      <x:c r="H63" s="26" t="str"/>
      <x:c r="I63" s="21" t="str">
        <x:v>Blessing of Mystic Beasts - All AP</x:v>
      </x:c>
      <x:c r="J63" s="36" t="str">
        <x:v>767969</x:v>
      </x:c>
      <x:c r="K63" s="38" t="str">
        <x:v>mystic_beasts_767969</x:v>
      </x:c>
      <x:c r="L63" s="38" t="str">
        <x:v>Geprüft</x:v>
      </x:c>
      <x:c r="M63" s="38" t="str">
        <x:v>mystic_beasts_767969</x:v>
      </x:c>
      <x:c r="N63" s="21" t="str">
        <x:v>Gesamte AK +15. Verbrauch: 1 Schriftrolle. Nicht mit anderen Mystic-Beasts- oder Wohnmöbelbuffs stapelbar; nur der zuletzt aktivierte Effekt zählt.</x:v>
      </x:c>
      <x:c r="O63" s="47" t="str">
        <x:v>https://bdocodex.com/de/item/767969/</x:v>
      </x:c>
    </x:row>
    <x:row r="64" ht="44" customHeight="1">
      <x:c r="A64" s="24" t="str">
        <x:v>Ja</x:v>
      </x:c>
      <x:c r="B64" s="20" t="str">
        <x:v>Segen der mystischen Bestie – Schadensreduktion</x:v>
      </x:c>
      <x:c r="C64" s="20" t="str">
        <x:v>Mystic-Beasts-Schriftrollen</x:v>
      </x:c>
      <x:c r="D64" s="20" t="str">
        <x:v>Standard</x:v>
      </x:c>
      <x:c r="E64" s="29" t="n">
        <x:v>60</x:v>
      </x:c>
      <x:c r="F64" s="31" t="str">
        <x:v>Ja</x:v>
      </x:c>
      <x:c r="G64" s="26" t="str"/>
      <x:c r="H64" s="26" t="str"/>
      <x:c r="I64" s="20" t="str">
        <x:v>Blessing of Mystic Beasts - Damage Reduction</x:v>
      </x:c>
      <x:c r="J64" s="35" t="str">
        <x:v>767971</x:v>
      </x:c>
      <x:c r="K64" s="37" t="str">
        <x:v>mystic_beasts_767971</x:v>
      </x:c>
      <x:c r="L64" s="37" t="str">
        <x:v>Geprüft</x:v>
      </x:c>
      <x:c r="M64" s="37" t="str">
        <x:v>mystic_beasts_767971</x:v>
      </x:c>
      <x:c r="N64" s="20" t="str">
        <x:v>Gesamte Schadensreduktion +15. Verbrauch: 1 Schriftrolle. Nicht mit anderen Mystic-Beasts- oder Wohnmöbelbuffs stapelbar; nur der zuletzt aktivierte Effekt zählt.</x:v>
      </x:c>
      <x:c r="O64" s="46" t="str">
        <x:v>https://bdocodex.com/de/item/767971/</x:v>
      </x:c>
    </x:row>
    <x:row r="65" ht="44" customHeight="1">
      <x:c r="A65" s="24" t="str">
        <x:v>Ja</x:v>
      </x:c>
      <x:c r="B65" s="21" t="str">
        <x:v>Segen der mystischen Bestie – Ausweichen</x:v>
      </x:c>
      <x:c r="C65" s="21" t="str">
        <x:v>Mystic-Beasts-Schriftrollen</x:v>
      </x:c>
      <x:c r="D65" s="21" t="str">
        <x:v>Standard</x:v>
      </x:c>
      <x:c r="E65" s="30" t="n">
        <x:v>60</x:v>
      </x:c>
      <x:c r="F65" s="32" t="str">
        <x:v>Ja</x:v>
      </x:c>
      <x:c r="G65" s="26" t="str"/>
      <x:c r="H65" s="26" t="str"/>
      <x:c r="I65" s="21" t="str">
        <x:v>Blessing of Mystic Beasts - Evasion</x:v>
      </x:c>
      <x:c r="J65" s="36" t="str">
        <x:v>767972</x:v>
      </x:c>
      <x:c r="K65" s="38" t="str">
        <x:v>mystic_beasts_767972</x:v>
      </x:c>
      <x:c r="L65" s="38" t="str">
        <x:v>Geprüft</x:v>
      </x:c>
      <x:c r="M65" s="38" t="str">
        <x:v>mystic_beasts_767972</x:v>
      </x:c>
      <x:c r="N65" s="21" t="str">
        <x:v>Gesamtes Ausweichen +20. Verbrauch: 1 Schriftrolle. Nicht mit anderen Mystic-Beasts- oder Wohnmöbelbuffs stapelbar; nur der zuletzt aktivierte Effekt zählt.</x:v>
      </x:c>
      <x:c r="O65" s="47" t="str">
        <x:v>https://bdocodex.com/de/item/767972/</x:v>
      </x:c>
    </x:row>
    <x:row r="66" ht="44" customHeight="1">
      <x:c r="A66" s="24" t="str">
        <x:v>Ja</x:v>
      </x:c>
      <x:c r="B66" s="20" t="str">
        <x:v>Segen der mystischen Bestie – Meisterung der Arbeitstalente</x:v>
      </x:c>
      <x:c r="C66" s="20" t="str">
        <x:v>Mystic-Beasts-Schriftrollen</x:v>
      </x:c>
      <x:c r="D66" s="20" t="str">
        <x:v>Standard</x:v>
      </x:c>
      <x:c r="E66" s="29" t="n">
        <x:v>60</x:v>
      </x:c>
      <x:c r="F66" s="31" t="str">
        <x:v>Ja</x:v>
      </x:c>
      <x:c r="G66" s="26" t="str"/>
      <x:c r="H66" s="26" t="str"/>
      <x:c r="I66" s="20" t="str">
        <x:v>Blessing of Mystic Beasts - Life Skill Mastery</x:v>
      </x:c>
      <x:c r="J66" s="35" t="str">
        <x:v>790781</x:v>
      </x:c>
      <x:c r="K66" s="37" t="str">
        <x:v>mystic_beasts_790781</x:v>
      </x:c>
      <x:c r="L66" s="37" t="str">
        <x:v>Geprüft</x:v>
      </x:c>
      <x:c r="M66" s="37" t="str">
        <x:v>mystic_beasts_790781</x:v>
      </x:c>
      <x:c r="N66" s="20" t="str">
        <x:v>Meisterung der Arbeitstalente +100. Verbrauch: 1 Schriftrolle. Nicht mit anderen Mystic-Beasts- oder Wohnmöbelbuffs stapelbar; nur der zuletzt aktivierte Effekt zählt.</x:v>
      </x:c>
      <x:c r="O66" s="46" t="str">
        <x:v>https://bdocodex.com/de/item/790781/</x:v>
      </x:c>
    </x:row>
    <x:row r="67" ht="44" customHeight="1">
      <x:c r="A67" s="24" t="str">
        <x:v>Ja</x:v>
      </x:c>
      <x:c r="B67" s="21" t="str">
        <x:v>Segen der mystischen Bestie – Max. LP</x:v>
      </x:c>
      <x:c r="C67" s="21" t="str">
        <x:v>Mystic-Beasts-Schriftrollen</x:v>
      </x:c>
      <x:c r="D67" s="21" t="str">
        <x:v>Standard</x:v>
      </x:c>
      <x:c r="E67" s="30" t="n">
        <x:v>60</x:v>
      </x:c>
      <x:c r="F67" s="32" t="str">
        <x:v>Ja</x:v>
      </x:c>
      <x:c r="G67" s="26" t="str"/>
      <x:c r="H67" s="26" t="str"/>
      <x:c r="I67" s="21" t="str">
        <x:v>Blessing of Mystic Beasts - Max HP</x:v>
      </x:c>
      <x:c r="J67" s="36" t="str">
        <x:v>767973</x:v>
      </x:c>
      <x:c r="K67" s="38" t="str">
        <x:v>mystic_beasts_767973</x:v>
      </x:c>
      <x:c r="L67" s="38" t="str">
        <x:v>Geprüft</x:v>
      </x:c>
      <x:c r="M67" s="38" t="str">
        <x:v>mystic_beasts_767973</x:v>
      </x:c>
      <x:c r="N67" s="21" t="str">
        <x:v>Max. LP +100. Verbrauch: 1 Schriftrolle. Nicht mit anderen Mystic-Beasts- oder Wohnmöbelbuffs stapelbar; nur der zuletzt aktivierte Effekt zählt.</x:v>
      </x:c>
      <x:c r="O67" s="47" t="str">
        <x:v>https://bdocodex.com/de/item/767973/</x:v>
      </x:c>
    </x:row>
  </x:sheetData>
  <x:conditionalFormatting sqref="A10:A67">
    <x:cfRule type="cellIs" dxfId="0" priority="1" operator="equal">
      <x:formula>"Ja"</x:formula>
    </x:cfRule>
    <x:cfRule type="cellIs" dxfId="1" priority="2" operator="equal">
      <x:formula>"Nein"</x:formula>
    </x:cfRule>
  </x:conditionalFormatting>
  <x:conditionalFormatting sqref="L10:L67">
    <x:cfRule type="containsText" dxfId="2" priority="3" operator="containsText" text="prüfen"/>
  </x:conditionalFormatting>
  <x:dataValidations count="1">
    <x:dataValidation type="list" sqref="A10:A67">
      <x:formula1>"Offen,Ja,Nein"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be91e997e432f"/>
  </x:tableParts>
</x:worksheet>
</file>